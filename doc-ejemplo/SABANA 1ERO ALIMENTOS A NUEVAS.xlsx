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600" windowHeight="8190" tabRatio="427"/>
  </bookViews>
  <sheets>
    <sheet name="SABANA 1 SUMATORIA" sheetId="1" r:id="rId1"/>
    <sheet name="SABANA 2 DEFINITIVA" sheetId="2" r:id="rId2"/>
  </sheets>
  <definedNames>
    <definedName name="_xlnm.Print_Area" localSheetId="0">'SABANA 1 SUMATORIA'!$A$1:$AN$34</definedName>
    <definedName name="_xlnm.Print_Area" localSheetId="1">'SABANA 2 DEFINITIVA'!$A$1:$AO$35</definedName>
  </definedNames>
  <calcPr calcId="124519"/>
</workbook>
</file>

<file path=xl/calcChain.xml><?xml version="1.0" encoding="utf-8"?>
<calcChain xmlns="http://schemas.openxmlformats.org/spreadsheetml/2006/main">
  <c r="AN32" i="1"/>
  <c r="AJ32"/>
  <c r="AF32"/>
  <c r="AB32"/>
  <c r="X32"/>
  <c r="T32"/>
  <c r="P32"/>
  <c r="L32"/>
  <c r="H32"/>
  <c r="AN31"/>
  <c r="AJ31"/>
  <c r="AF31"/>
  <c r="AB31"/>
  <c r="X31"/>
  <c r="T31"/>
  <c r="P31"/>
  <c r="L31"/>
  <c r="H31"/>
  <c r="AN30"/>
  <c r="AJ30"/>
  <c r="AF30"/>
  <c r="AB30"/>
  <c r="X30"/>
  <c r="T30"/>
  <c r="P30"/>
  <c r="L30"/>
  <c r="H30"/>
  <c r="AN29"/>
  <c r="AJ29"/>
  <c r="AF29"/>
  <c r="AB29"/>
  <c r="X29"/>
  <c r="T29"/>
  <c r="P29"/>
  <c r="L29"/>
  <c r="H29"/>
  <c r="AN28"/>
  <c r="AJ28"/>
  <c r="AF28"/>
  <c r="AB28"/>
  <c r="X28"/>
  <c r="T28"/>
  <c r="P28"/>
  <c r="L28"/>
  <c r="H28"/>
  <c r="AN27"/>
  <c r="AJ27"/>
  <c r="AF27"/>
  <c r="AB27"/>
  <c r="X27"/>
  <c r="T27"/>
  <c r="P27"/>
  <c r="L27"/>
  <c r="H27"/>
  <c r="AN26"/>
  <c r="AJ26"/>
  <c r="AF26"/>
  <c r="AB26"/>
  <c r="X26"/>
  <c r="T26"/>
  <c r="P26"/>
  <c r="L26"/>
  <c r="H26"/>
  <c r="AN25"/>
  <c r="AJ25"/>
  <c r="AF25"/>
  <c r="AB25"/>
  <c r="X25"/>
  <c r="T25"/>
  <c r="P25"/>
  <c r="L25"/>
  <c r="H25"/>
  <c r="AN24"/>
  <c r="AJ24"/>
  <c r="AF24"/>
  <c r="AB24"/>
  <c r="X24"/>
  <c r="T24"/>
  <c r="P24"/>
  <c r="L24"/>
  <c r="H24"/>
  <c r="AN23"/>
  <c r="AJ23"/>
  <c r="AF23"/>
  <c r="AB23"/>
  <c r="X23"/>
  <c r="T23"/>
  <c r="P23"/>
  <c r="L23"/>
  <c r="H23"/>
  <c r="AN22"/>
  <c r="AJ22"/>
  <c r="AF22"/>
  <c r="AB22"/>
  <c r="X22"/>
  <c r="T22"/>
  <c r="P22"/>
  <c r="L22"/>
  <c r="H22"/>
  <c r="AN21"/>
  <c r="AJ21"/>
  <c r="AF21"/>
  <c r="AB21"/>
  <c r="X21"/>
  <c r="T21"/>
  <c r="P21"/>
  <c r="L21"/>
  <c r="H21"/>
  <c r="AN20"/>
  <c r="AJ20"/>
  <c r="AF20"/>
  <c r="AB20"/>
  <c r="X20"/>
  <c r="T20"/>
  <c r="P20"/>
  <c r="L20"/>
  <c r="H20"/>
  <c r="AN19"/>
  <c r="AJ19"/>
  <c r="AF19"/>
  <c r="AB19"/>
  <c r="X19"/>
  <c r="T19"/>
  <c r="P19"/>
  <c r="L19"/>
  <c r="H19"/>
  <c r="AN18"/>
  <c r="AJ18"/>
  <c r="AF18"/>
  <c r="AB18"/>
  <c r="X18"/>
  <c r="T18"/>
  <c r="P18"/>
  <c r="L18"/>
  <c r="H18"/>
  <c r="AN17"/>
  <c r="AJ17"/>
  <c r="AF17"/>
  <c r="AB17"/>
  <c r="X17"/>
  <c r="T17"/>
  <c r="P17"/>
  <c r="L17"/>
  <c r="H17"/>
  <c r="AN16"/>
  <c r="AJ16"/>
  <c r="AF16"/>
  <c r="AB16"/>
  <c r="X16"/>
  <c r="T16"/>
  <c r="P16"/>
  <c r="L16"/>
  <c r="H16"/>
  <c r="AN15"/>
  <c r="AJ15"/>
  <c r="AF15"/>
  <c r="AB15"/>
  <c r="X15"/>
  <c r="T15"/>
  <c r="P15"/>
  <c r="L15"/>
  <c r="H15"/>
  <c r="AN14"/>
  <c r="AJ14"/>
  <c r="AF14"/>
  <c r="AB14"/>
  <c r="X14"/>
  <c r="T14"/>
  <c r="P14"/>
  <c r="L14"/>
  <c r="H14"/>
  <c r="AN13"/>
  <c r="AJ13"/>
  <c r="AF13"/>
  <c r="AB13"/>
  <c r="X13"/>
  <c r="T13"/>
  <c r="P13"/>
  <c r="L13"/>
  <c r="H13"/>
  <c r="AN12"/>
  <c r="AJ12"/>
  <c r="AF12"/>
  <c r="AB12"/>
  <c r="X12"/>
  <c r="T12"/>
  <c r="P12"/>
  <c r="L12"/>
  <c r="H12"/>
  <c r="AN11"/>
  <c r="AJ11"/>
  <c r="AF11"/>
  <c r="AB11"/>
  <c r="X11"/>
  <c r="T11"/>
  <c r="P11"/>
  <c r="L11"/>
  <c r="H11"/>
  <c r="AN10"/>
  <c r="AJ10"/>
  <c r="AF10"/>
  <c r="AB10"/>
  <c r="X10"/>
  <c r="T10"/>
  <c r="P10"/>
  <c r="L10"/>
  <c r="H10"/>
  <c r="E11" i="2"/>
  <c r="H11" s="1"/>
  <c r="E10"/>
  <c r="H10" s="1"/>
  <c r="J10"/>
  <c r="I10"/>
  <c r="F10"/>
  <c r="A5"/>
  <c r="AC6"/>
  <c r="AI34"/>
  <c r="AM32"/>
  <c r="AL32"/>
  <c r="AK32"/>
  <c r="AN32" s="1"/>
  <c r="AI32"/>
  <c r="AH32"/>
  <c r="AG32"/>
  <c r="AJ32" s="1"/>
  <c r="AE32"/>
  <c r="AD32"/>
  <c r="AC32"/>
  <c r="AF32" s="1"/>
  <c r="AA32"/>
  <c r="Z32"/>
  <c r="Y32"/>
  <c r="AB32" s="1"/>
  <c r="W32"/>
  <c r="V32"/>
  <c r="U32"/>
  <c r="X32" s="1"/>
  <c r="S32"/>
  <c r="R32"/>
  <c r="Q32"/>
  <c r="T32" s="1"/>
  <c r="O32"/>
  <c r="N32"/>
  <c r="M32"/>
  <c r="P32" s="1"/>
  <c r="K32"/>
  <c r="J32"/>
  <c r="I32"/>
  <c r="L32" s="1"/>
  <c r="G32"/>
  <c r="F32"/>
  <c r="E32"/>
  <c r="H32" s="1"/>
  <c r="AO32" s="1"/>
  <c r="AM31"/>
  <c r="AL31"/>
  <c r="AK31"/>
  <c r="AN31" s="1"/>
  <c r="AI31"/>
  <c r="AH31"/>
  <c r="AG31"/>
  <c r="AJ31" s="1"/>
  <c r="AE31"/>
  <c r="AD31"/>
  <c r="AC31"/>
  <c r="AF31" s="1"/>
  <c r="AA31"/>
  <c r="Z31"/>
  <c r="Y31"/>
  <c r="AB31" s="1"/>
  <c r="W31"/>
  <c r="V31"/>
  <c r="U31"/>
  <c r="X31" s="1"/>
  <c r="S31"/>
  <c r="R31"/>
  <c r="Q31"/>
  <c r="T31" s="1"/>
  <c r="O31"/>
  <c r="N31"/>
  <c r="M31"/>
  <c r="P31" s="1"/>
  <c r="K31"/>
  <c r="J31"/>
  <c r="I31"/>
  <c r="L31" s="1"/>
  <c r="G31"/>
  <c r="F31"/>
  <c r="E31"/>
  <c r="H31" s="1"/>
  <c r="AM30"/>
  <c r="AL30"/>
  <c r="AK30"/>
  <c r="AN30" s="1"/>
  <c r="AI30"/>
  <c r="AH30"/>
  <c r="AG30"/>
  <c r="AJ30" s="1"/>
  <c r="AE30"/>
  <c r="AD30"/>
  <c r="AC30"/>
  <c r="AF30" s="1"/>
  <c r="AA30"/>
  <c r="Z30"/>
  <c r="Y30"/>
  <c r="AB30" s="1"/>
  <c r="W30"/>
  <c r="V30"/>
  <c r="U30"/>
  <c r="X30" s="1"/>
  <c r="S30"/>
  <c r="R30"/>
  <c r="Q30"/>
  <c r="T30" s="1"/>
  <c r="O30"/>
  <c r="N30"/>
  <c r="M30"/>
  <c r="P30" s="1"/>
  <c r="K30"/>
  <c r="J30"/>
  <c r="I30"/>
  <c r="L30" s="1"/>
  <c r="G30"/>
  <c r="F30"/>
  <c r="E30"/>
  <c r="H30" s="1"/>
  <c r="AO30" s="1"/>
  <c r="D30"/>
  <c r="C30"/>
  <c r="B30"/>
  <c r="AM29"/>
  <c r="AL29"/>
  <c r="AK29"/>
  <c r="AN29" s="1"/>
  <c r="AI29"/>
  <c r="AH29"/>
  <c r="AG29"/>
  <c r="AJ29" s="1"/>
  <c r="AE29"/>
  <c r="AD29"/>
  <c r="AC29"/>
  <c r="AF29" s="1"/>
  <c r="AA29"/>
  <c r="Z29"/>
  <c r="Y29"/>
  <c r="AB29" s="1"/>
  <c r="W29"/>
  <c r="V29"/>
  <c r="U29"/>
  <c r="X29" s="1"/>
  <c r="S29"/>
  <c r="R29"/>
  <c r="Q29"/>
  <c r="T29" s="1"/>
  <c r="O29"/>
  <c r="N29"/>
  <c r="M29"/>
  <c r="P29" s="1"/>
  <c r="K29"/>
  <c r="J29"/>
  <c r="I29"/>
  <c r="L29" s="1"/>
  <c r="G29"/>
  <c r="F29"/>
  <c r="E29"/>
  <c r="H29" s="1"/>
  <c r="AO29" s="1"/>
  <c r="D29"/>
  <c r="C29"/>
  <c r="AM28"/>
  <c r="AL28"/>
  <c r="AK28"/>
  <c r="AN28" s="1"/>
  <c r="AI28"/>
  <c r="AH28"/>
  <c r="AG28"/>
  <c r="AJ28" s="1"/>
  <c r="AE28"/>
  <c r="AD28"/>
  <c r="AC28"/>
  <c r="AF28" s="1"/>
  <c r="AA28"/>
  <c r="Z28"/>
  <c r="Y28"/>
  <c r="AB28" s="1"/>
  <c r="W28"/>
  <c r="V28"/>
  <c r="U28"/>
  <c r="X28" s="1"/>
  <c r="S28"/>
  <c r="R28"/>
  <c r="Q28"/>
  <c r="T28" s="1"/>
  <c r="O28"/>
  <c r="N28"/>
  <c r="M28"/>
  <c r="P28" s="1"/>
  <c r="K28"/>
  <c r="J28"/>
  <c r="I28"/>
  <c r="L28" s="1"/>
  <c r="G28"/>
  <c r="F28"/>
  <c r="E28"/>
  <c r="H28" s="1"/>
  <c r="D28"/>
  <c r="C28"/>
  <c r="B28"/>
  <c r="AM27"/>
  <c r="AL27"/>
  <c r="AK27"/>
  <c r="AN27" s="1"/>
  <c r="AI27"/>
  <c r="AH27"/>
  <c r="AG27"/>
  <c r="AJ27" s="1"/>
  <c r="AE27"/>
  <c r="AD27"/>
  <c r="AC27"/>
  <c r="AF27" s="1"/>
  <c r="AA27"/>
  <c r="Z27"/>
  <c r="Y27"/>
  <c r="AB27" s="1"/>
  <c r="W27"/>
  <c r="V27"/>
  <c r="U27"/>
  <c r="X27" s="1"/>
  <c r="S27"/>
  <c r="R27"/>
  <c r="Q27"/>
  <c r="T27" s="1"/>
  <c r="O27"/>
  <c r="N27"/>
  <c r="M27"/>
  <c r="P27" s="1"/>
  <c r="K27"/>
  <c r="J27"/>
  <c r="I27"/>
  <c r="L27" s="1"/>
  <c r="G27"/>
  <c r="F27"/>
  <c r="E27"/>
  <c r="H27" s="1"/>
  <c r="D27"/>
  <c r="C27"/>
  <c r="B27"/>
  <c r="AM26"/>
  <c r="AL26"/>
  <c r="AK26"/>
  <c r="AN26" s="1"/>
  <c r="AI26"/>
  <c r="AH26"/>
  <c r="AG26"/>
  <c r="AJ26" s="1"/>
  <c r="AE26"/>
  <c r="AD26"/>
  <c r="AC26"/>
  <c r="AF26" s="1"/>
  <c r="AA26"/>
  <c r="Z26"/>
  <c r="Y26"/>
  <c r="AB26" s="1"/>
  <c r="W26"/>
  <c r="V26"/>
  <c r="U26"/>
  <c r="X26" s="1"/>
  <c r="S26"/>
  <c r="R26"/>
  <c r="Q26"/>
  <c r="T26" s="1"/>
  <c r="O26"/>
  <c r="N26"/>
  <c r="M26"/>
  <c r="P26" s="1"/>
  <c r="K26"/>
  <c r="J26"/>
  <c r="I26"/>
  <c r="L26" s="1"/>
  <c r="G26"/>
  <c r="F26"/>
  <c r="E26"/>
  <c r="H26" s="1"/>
  <c r="D26"/>
  <c r="C26"/>
  <c r="B26"/>
  <c r="AM25"/>
  <c r="AL25"/>
  <c r="AK25"/>
  <c r="AN25" s="1"/>
  <c r="AI25"/>
  <c r="AH25"/>
  <c r="AG25"/>
  <c r="AJ25" s="1"/>
  <c r="AE25"/>
  <c r="AD25"/>
  <c r="AC25"/>
  <c r="AF25" s="1"/>
  <c r="AA25"/>
  <c r="Z25"/>
  <c r="Y25"/>
  <c r="AB25" s="1"/>
  <c r="W25"/>
  <c r="V25"/>
  <c r="U25"/>
  <c r="X25" s="1"/>
  <c r="S25"/>
  <c r="R25"/>
  <c r="Q25"/>
  <c r="T25" s="1"/>
  <c r="O25"/>
  <c r="N25"/>
  <c r="M25"/>
  <c r="P25" s="1"/>
  <c r="K25"/>
  <c r="J25"/>
  <c r="I25"/>
  <c r="L25" s="1"/>
  <c r="G25"/>
  <c r="F25"/>
  <c r="E25"/>
  <c r="H25" s="1"/>
  <c r="D25"/>
  <c r="C25"/>
  <c r="B25"/>
  <c r="AM24"/>
  <c r="AL24"/>
  <c r="AK24"/>
  <c r="AN24" s="1"/>
  <c r="AI24"/>
  <c r="AH24"/>
  <c r="AG24"/>
  <c r="AJ24" s="1"/>
  <c r="AE24"/>
  <c r="AD24"/>
  <c r="AC24"/>
  <c r="AF24" s="1"/>
  <c r="AA24"/>
  <c r="Z24"/>
  <c r="Y24"/>
  <c r="AB24" s="1"/>
  <c r="W24"/>
  <c r="V24"/>
  <c r="U24"/>
  <c r="X24" s="1"/>
  <c r="S24"/>
  <c r="R24"/>
  <c r="Q24"/>
  <c r="T24" s="1"/>
  <c r="O24"/>
  <c r="N24"/>
  <c r="M24"/>
  <c r="P24" s="1"/>
  <c r="K24"/>
  <c r="J24"/>
  <c r="I24"/>
  <c r="L24" s="1"/>
  <c r="G24"/>
  <c r="F24"/>
  <c r="E24"/>
  <c r="H24" s="1"/>
  <c r="D24"/>
  <c r="C24"/>
  <c r="B24"/>
  <c r="AM23"/>
  <c r="AL23"/>
  <c r="AK23"/>
  <c r="AN23" s="1"/>
  <c r="AI23"/>
  <c r="AH23"/>
  <c r="AG23"/>
  <c r="AJ23" s="1"/>
  <c r="AE23"/>
  <c r="AD23"/>
  <c r="AC23"/>
  <c r="AF23" s="1"/>
  <c r="AA23"/>
  <c r="Z23"/>
  <c r="Y23"/>
  <c r="AB23" s="1"/>
  <c r="W23"/>
  <c r="V23"/>
  <c r="U23"/>
  <c r="X23" s="1"/>
  <c r="S23"/>
  <c r="R23"/>
  <c r="Q23"/>
  <c r="T23" s="1"/>
  <c r="O23"/>
  <c r="N23"/>
  <c r="M23"/>
  <c r="P23" s="1"/>
  <c r="K23"/>
  <c r="J23"/>
  <c r="I23"/>
  <c r="L23" s="1"/>
  <c r="G23"/>
  <c r="F23"/>
  <c r="E23"/>
  <c r="H23" s="1"/>
  <c r="D23"/>
  <c r="C23"/>
  <c r="B23"/>
  <c r="AM22"/>
  <c r="AL22"/>
  <c r="AK22"/>
  <c r="AN22" s="1"/>
  <c r="AI22"/>
  <c r="AH22"/>
  <c r="AG22"/>
  <c r="AJ22" s="1"/>
  <c r="AE22"/>
  <c r="AD22"/>
  <c r="AC22"/>
  <c r="AF22" s="1"/>
  <c r="AA22"/>
  <c r="Z22"/>
  <c r="Y22"/>
  <c r="AB22" s="1"/>
  <c r="W22"/>
  <c r="V22"/>
  <c r="U22"/>
  <c r="X22" s="1"/>
  <c r="S22"/>
  <c r="R22"/>
  <c r="Q22"/>
  <c r="T22" s="1"/>
  <c r="O22"/>
  <c r="N22"/>
  <c r="M22"/>
  <c r="P22" s="1"/>
  <c r="K22"/>
  <c r="J22"/>
  <c r="I22"/>
  <c r="L22" s="1"/>
  <c r="G22"/>
  <c r="F22"/>
  <c r="E22"/>
  <c r="H22" s="1"/>
  <c r="AO22" s="1"/>
  <c r="D22"/>
  <c r="C22"/>
  <c r="B22"/>
  <c r="AM21"/>
  <c r="AL21"/>
  <c r="AK21"/>
  <c r="AN21" s="1"/>
  <c r="AI21"/>
  <c r="AH21"/>
  <c r="AG21"/>
  <c r="AJ21" s="1"/>
  <c r="AE21"/>
  <c r="AD21"/>
  <c r="AC21"/>
  <c r="AF21" s="1"/>
  <c r="AA21"/>
  <c r="Z21"/>
  <c r="Y21"/>
  <c r="AB21" s="1"/>
  <c r="W21"/>
  <c r="V21"/>
  <c r="U21"/>
  <c r="X21" s="1"/>
  <c r="S21"/>
  <c r="R21"/>
  <c r="Q21"/>
  <c r="T21" s="1"/>
  <c r="O21"/>
  <c r="N21"/>
  <c r="M21"/>
  <c r="P21" s="1"/>
  <c r="K21"/>
  <c r="J21"/>
  <c r="I21"/>
  <c r="L21" s="1"/>
  <c r="G21"/>
  <c r="F21"/>
  <c r="E21"/>
  <c r="H21" s="1"/>
  <c r="D21"/>
  <c r="C21"/>
  <c r="B21"/>
  <c r="AM20"/>
  <c r="AL20"/>
  <c r="AK20"/>
  <c r="AN20" s="1"/>
  <c r="AI20"/>
  <c r="AH20"/>
  <c r="AG20"/>
  <c r="AJ20" s="1"/>
  <c r="AE20"/>
  <c r="AD20"/>
  <c r="AC20"/>
  <c r="AF20" s="1"/>
  <c r="AA20"/>
  <c r="Z20"/>
  <c r="Y20"/>
  <c r="AB20" s="1"/>
  <c r="W20"/>
  <c r="V20"/>
  <c r="U20"/>
  <c r="X20" s="1"/>
  <c r="S20"/>
  <c r="R20"/>
  <c r="Q20"/>
  <c r="T20" s="1"/>
  <c r="O20"/>
  <c r="N20"/>
  <c r="M20"/>
  <c r="P20" s="1"/>
  <c r="K20"/>
  <c r="J20"/>
  <c r="I20"/>
  <c r="L20" s="1"/>
  <c r="G20"/>
  <c r="F20"/>
  <c r="E20"/>
  <c r="H20" s="1"/>
  <c r="D20"/>
  <c r="C20"/>
  <c r="B20"/>
  <c r="AM19"/>
  <c r="AL19"/>
  <c r="AK19"/>
  <c r="AN19" s="1"/>
  <c r="AI19"/>
  <c r="AH19"/>
  <c r="AG19"/>
  <c r="AJ19" s="1"/>
  <c r="AE19"/>
  <c r="AD19"/>
  <c r="AC19"/>
  <c r="AF19" s="1"/>
  <c r="AA19"/>
  <c r="Z19"/>
  <c r="Y19"/>
  <c r="AB19" s="1"/>
  <c r="W19"/>
  <c r="V19"/>
  <c r="U19"/>
  <c r="X19" s="1"/>
  <c r="S19"/>
  <c r="R19"/>
  <c r="Q19"/>
  <c r="T19" s="1"/>
  <c r="O19"/>
  <c r="N19"/>
  <c r="M19"/>
  <c r="P19" s="1"/>
  <c r="K19"/>
  <c r="J19"/>
  <c r="I19"/>
  <c r="L19" s="1"/>
  <c r="G19"/>
  <c r="F19"/>
  <c r="E19"/>
  <c r="H19" s="1"/>
  <c r="D19"/>
  <c r="C19"/>
  <c r="B19"/>
  <c r="AM18"/>
  <c r="AL18"/>
  <c r="AK18"/>
  <c r="AN18" s="1"/>
  <c r="AI18"/>
  <c r="AH18"/>
  <c r="AG18"/>
  <c r="AJ18" s="1"/>
  <c r="AE18"/>
  <c r="AD18"/>
  <c r="AC18"/>
  <c r="AF18" s="1"/>
  <c r="AA18"/>
  <c r="Z18"/>
  <c r="Y18"/>
  <c r="AB18" s="1"/>
  <c r="W18"/>
  <c r="V18"/>
  <c r="U18"/>
  <c r="X18" s="1"/>
  <c r="S18"/>
  <c r="R18"/>
  <c r="Q18"/>
  <c r="T18" s="1"/>
  <c r="O18"/>
  <c r="N18"/>
  <c r="M18"/>
  <c r="P18" s="1"/>
  <c r="K18"/>
  <c r="J18"/>
  <c r="I18"/>
  <c r="L18" s="1"/>
  <c r="G18"/>
  <c r="F18"/>
  <c r="E18"/>
  <c r="H18" s="1"/>
  <c r="D18"/>
  <c r="C18"/>
  <c r="B18"/>
  <c r="AM17"/>
  <c r="AL17"/>
  <c r="AK17"/>
  <c r="AN17" s="1"/>
  <c r="AI17"/>
  <c r="AH17"/>
  <c r="AG17"/>
  <c r="AJ17" s="1"/>
  <c r="AE17"/>
  <c r="AD17"/>
  <c r="AC17"/>
  <c r="AF17" s="1"/>
  <c r="AA17"/>
  <c r="Z17"/>
  <c r="Y17"/>
  <c r="AB17" s="1"/>
  <c r="W17"/>
  <c r="V17"/>
  <c r="U17"/>
  <c r="X17" s="1"/>
  <c r="S17"/>
  <c r="R17"/>
  <c r="Q17"/>
  <c r="T17" s="1"/>
  <c r="O17"/>
  <c r="N17"/>
  <c r="M17"/>
  <c r="P17" s="1"/>
  <c r="K17"/>
  <c r="J17"/>
  <c r="I17"/>
  <c r="L17" s="1"/>
  <c r="G17"/>
  <c r="F17"/>
  <c r="E17"/>
  <c r="H17" s="1"/>
  <c r="AO17" s="1"/>
  <c r="D17"/>
  <c r="C17"/>
  <c r="B17"/>
  <c r="AM16"/>
  <c r="AL16"/>
  <c r="AK16"/>
  <c r="AN16" s="1"/>
  <c r="AI16"/>
  <c r="AH16"/>
  <c r="AG16"/>
  <c r="AJ16" s="1"/>
  <c r="AE16"/>
  <c r="AD16"/>
  <c r="AC16"/>
  <c r="AF16" s="1"/>
  <c r="AA16"/>
  <c r="Z16"/>
  <c r="Y16"/>
  <c r="AB16" s="1"/>
  <c r="W16"/>
  <c r="V16"/>
  <c r="U16"/>
  <c r="X16" s="1"/>
  <c r="S16"/>
  <c r="R16"/>
  <c r="Q16"/>
  <c r="T16" s="1"/>
  <c r="O16"/>
  <c r="N16"/>
  <c r="M16"/>
  <c r="P16" s="1"/>
  <c r="K16"/>
  <c r="J16"/>
  <c r="I16"/>
  <c r="L16" s="1"/>
  <c r="G16"/>
  <c r="F16"/>
  <c r="E16"/>
  <c r="H16" s="1"/>
  <c r="AO16" s="1"/>
  <c r="D16"/>
  <c r="C16"/>
  <c r="B16"/>
  <c r="AM15"/>
  <c r="AL15"/>
  <c r="AK15"/>
  <c r="AN15" s="1"/>
  <c r="AI15"/>
  <c r="AH15"/>
  <c r="AG15"/>
  <c r="AJ15" s="1"/>
  <c r="AE15"/>
  <c r="AD15"/>
  <c r="AC15"/>
  <c r="AF15" s="1"/>
  <c r="AA15"/>
  <c r="Z15"/>
  <c r="Y15"/>
  <c r="AB15" s="1"/>
  <c r="W15"/>
  <c r="V15"/>
  <c r="U15"/>
  <c r="X15" s="1"/>
  <c r="S15"/>
  <c r="R15"/>
  <c r="Q15"/>
  <c r="T15" s="1"/>
  <c r="O15"/>
  <c r="N15"/>
  <c r="M15"/>
  <c r="P15" s="1"/>
  <c r="K15"/>
  <c r="J15"/>
  <c r="I15"/>
  <c r="L15" s="1"/>
  <c r="G15"/>
  <c r="F15"/>
  <c r="E15"/>
  <c r="H15" s="1"/>
  <c r="AO15" s="1"/>
  <c r="D15"/>
  <c r="C15"/>
  <c r="B15"/>
  <c r="AM14"/>
  <c r="AL14"/>
  <c r="AK14"/>
  <c r="AN14" s="1"/>
  <c r="AI14"/>
  <c r="AH14"/>
  <c r="AG14"/>
  <c r="AJ14" s="1"/>
  <c r="AE14"/>
  <c r="AD14"/>
  <c r="AC14"/>
  <c r="AF14" s="1"/>
  <c r="AA14"/>
  <c r="Z14"/>
  <c r="Y14"/>
  <c r="AB14" s="1"/>
  <c r="W14"/>
  <c r="V14"/>
  <c r="U14"/>
  <c r="X14" s="1"/>
  <c r="S14"/>
  <c r="R14"/>
  <c r="Q14"/>
  <c r="T14" s="1"/>
  <c r="O14"/>
  <c r="N14"/>
  <c r="M14"/>
  <c r="P14" s="1"/>
  <c r="K14"/>
  <c r="J14"/>
  <c r="I14"/>
  <c r="L14" s="1"/>
  <c r="G14"/>
  <c r="F14"/>
  <c r="E14"/>
  <c r="H14" s="1"/>
  <c r="AO14" s="1"/>
  <c r="D14"/>
  <c r="C14"/>
  <c r="B14"/>
  <c r="AM13"/>
  <c r="AL13"/>
  <c r="AK13"/>
  <c r="AN13" s="1"/>
  <c r="AI13"/>
  <c r="AH13"/>
  <c r="AG13"/>
  <c r="AJ13" s="1"/>
  <c r="AE13"/>
  <c r="AD13"/>
  <c r="AC13"/>
  <c r="AF13" s="1"/>
  <c r="AA13"/>
  <c r="Z13"/>
  <c r="Y13"/>
  <c r="AB13" s="1"/>
  <c r="W13"/>
  <c r="V13"/>
  <c r="U13"/>
  <c r="X13" s="1"/>
  <c r="S13"/>
  <c r="R13"/>
  <c r="Q13"/>
  <c r="T13" s="1"/>
  <c r="O13"/>
  <c r="N13"/>
  <c r="M13"/>
  <c r="P13" s="1"/>
  <c r="K13"/>
  <c r="J13"/>
  <c r="I13"/>
  <c r="L13" s="1"/>
  <c r="G13"/>
  <c r="F13"/>
  <c r="E13"/>
  <c r="H13" s="1"/>
  <c r="D13"/>
  <c r="C13"/>
  <c r="B13"/>
  <c r="AM12"/>
  <c r="AL12"/>
  <c r="AK12"/>
  <c r="AN12" s="1"/>
  <c r="AI12"/>
  <c r="AH12"/>
  <c r="AG12"/>
  <c r="AJ12" s="1"/>
  <c r="AE12"/>
  <c r="AD12"/>
  <c r="AC12"/>
  <c r="AF12" s="1"/>
  <c r="AA12"/>
  <c r="Z12"/>
  <c r="Y12"/>
  <c r="AB12" s="1"/>
  <c r="W12"/>
  <c r="V12"/>
  <c r="U12"/>
  <c r="X12" s="1"/>
  <c r="S12"/>
  <c r="R12"/>
  <c r="Q12"/>
  <c r="T12" s="1"/>
  <c r="O12"/>
  <c r="N12"/>
  <c r="M12"/>
  <c r="P12" s="1"/>
  <c r="K12"/>
  <c r="J12"/>
  <c r="I12"/>
  <c r="L12" s="1"/>
  <c r="G12"/>
  <c r="F12"/>
  <c r="E12"/>
  <c r="H12" s="1"/>
  <c r="D12"/>
  <c r="C12"/>
  <c r="B12"/>
  <c r="AM11"/>
  <c r="AL11"/>
  <c r="AK11"/>
  <c r="AN11" s="1"/>
  <c r="AI11"/>
  <c r="AH11"/>
  <c r="AG11"/>
  <c r="AJ11" s="1"/>
  <c r="AE11"/>
  <c r="AD11"/>
  <c r="AC11"/>
  <c r="AF11" s="1"/>
  <c r="AA11"/>
  <c r="Z11"/>
  <c r="Y11"/>
  <c r="AB11" s="1"/>
  <c r="W11"/>
  <c r="V11"/>
  <c r="U11"/>
  <c r="X11" s="1"/>
  <c r="S11"/>
  <c r="R11"/>
  <c r="Q11"/>
  <c r="T11" s="1"/>
  <c r="O11"/>
  <c r="N11"/>
  <c r="M11"/>
  <c r="P11" s="1"/>
  <c r="K11"/>
  <c r="J11"/>
  <c r="I11"/>
  <c r="L11" s="1"/>
  <c r="G11"/>
  <c r="F11"/>
  <c r="D11"/>
  <c r="C11"/>
  <c r="B11"/>
  <c r="A1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M10"/>
  <c r="AL10"/>
  <c r="AK10"/>
  <c r="AN10" s="1"/>
  <c r="AI10"/>
  <c r="AH10"/>
  <c r="AG10"/>
  <c r="AJ10" s="1"/>
  <c r="AE10"/>
  <c r="AD10"/>
  <c r="AC10"/>
  <c r="AF10" s="1"/>
  <c r="AA10"/>
  <c r="Z10"/>
  <c r="Y10"/>
  <c r="AB10" s="1"/>
  <c r="W10"/>
  <c r="V10"/>
  <c r="U10"/>
  <c r="X10" s="1"/>
  <c r="S10"/>
  <c r="R10"/>
  <c r="Q10"/>
  <c r="T10" s="1"/>
  <c r="O10"/>
  <c r="N10"/>
  <c r="M10"/>
  <c r="P10" s="1"/>
  <c r="K10"/>
  <c r="G10"/>
  <c r="D10"/>
  <c r="C10"/>
  <c r="B10"/>
  <c r="AK8"/>
  <c r="AG8"/>
  <c r="AC8"/>
  <c r="Y8"/>
  <c r="U8"/>
  <c r="Q8"/>
  <c r="M8"/>
  <c r="I8"/>
  <c r="E8"/>
  <c r="E6"/>
  <c r="V33" s="1"/>
  <c r="A4"/>
  <c r="AI34" i="1"/>
  <c r="L10" i="2" l="1"/>
  <c r="AO24"/>
  <c r="AO25"/>
  <c r="AO18"/>
  <c r="AO23"/>
  <c r="AO26"/>
  <c r="AO31"/>
  <c r="AO21"/>
  <c r="AO13"/>
  <c r="AO20"/>
  <c r="AO12"/>
  <c r="AO28"/>
  <c r="AO27"/>
  <c r="AO19"/>
  <c r="AO11"/>
  <c r="AO10"/>
</calcChain>
</file>

<file path=xl/sharedStrings.xml><?xml version="1.0" encoding="utf-8"?>
<sst xmlns="http://schemas.openxmlformats.org/spreadsheetml/2006/main" count="112" uniqueCount="82">
  <si>
    <t>ESCUELA TÉCNICA AGROPECUARIA</t>
  </si>
  <si>
    <t>EL SOCORRO - GUÁRICO.</t>
  </si>
  <si>
    <t xml:space="preserve">PROFESOR ASESOR:  </t>
  </si>
  <si>
    <t>N°</t>
  </si>
  <si>
    <t>C.I.</t>
  </si>
  <si>
    <t>MATEMATICA</t>
  </si>
  <si>
    <t>EDUCACION FISICA</t>
  </si>
  <si>
    <t>Σ</t>
  </si>
  <si>
    <t>DEPARTAMENTO DE EVALUACIÓN</t>
  </si>
  <si>
    <t>DEPARTAMENTO DE CONTROL DE ESTUDIOS</t>
  </si>
  <si>
    <t>PROFESOR  ASESOR</t>
  </si>
  <si>
    <t>D</t>
  </si>
  <si>
    <t>APELLIDOS DEL ESTUDIANTE</t>
  </si>
  <si>
    <t>NOMBRES DEL ESTUDIANTE</t>
  </si>
  <si>
    <t>LENGUA Y LITERATURA</t>
  </si>
  <si>
    <t>IDIOMAS</t>
  </si>
  <si>
    <t>RESUMEN DE LA ACTUACIÓN DEL ESTUDUANTE  DURANTE LOS TRES  MOMENTOS</t>
  </si>
  <si>
    <t>"HENRY PITTIER"</t>
  </si>
  <si>
    <t>"HENRY  PITTIER"</t>
  </si>
  <si>
    <t xml:space="preserve">FECHA Y HORA DE IMPRESIÓN: </t>
  </si>
  <si>
    <t>BIOLOGIA, AMBIENTE Y TECNOLOGIA</t>
  </si>
  <si>
    <t>GEOGRAFIA, HISTORIA Y SOBERANIA NACIONAL</t>
  </si>
  <si>
    <t>PROYECTO DE ECONOMIA SOCIOPRODUCTIVA Y TECNOLOGIA</t>
  </si>
  <si>
    <t>ORIENTACION Y VINCULACION SOCIOLABORAL</t>
  </si>
  <si>
    <t>PRODUCCION AGROINDUSTRIAL</t>
  </si>
  <si>
    <t>GARCIA GONZALEZ</t>
  </si>
  <si>
    <t>SANDOVAL GOMEZ</t>
  </si>
  <si>
    <t>DANNA SARAIT</t>
  </si>
  <si>
    <t>HERNANDEZ BELIZARIO</t>
  </si>
  <si>
    <t>NATHALY ROSIMAR</t>
  </si>
  <si>
    <t>CORREA SANOJA</t>
  </si>
  <si>
    <t>OSMARY ISABEL</t>
  </si>
  <si>
    <t>MACHUCA MACHADO</t>
  </si>
  <si>
    <t>LEONEXY YISEL</t>
  </si>
  <si>
    <t>ROJAS ROJAS</t>
  </si>
  <si>
    <t>LUIS GABRIEL</t>
  </si>
  <si>
    <t>PARUCHO CAMPOS</t>
  </si>
  <si>
    <t>ADRIAN ALBERTO</t>
  </si>
  <si>
    <t>CONTRERAS SILVA</t>
  </si>
  <si>
    <t>NEGLISMAR ANDREINA</t>
  </si>
  <si>
    <t>CASTRO GRANADO</t>
  </si>
  <si>
    <t>AURORA ESTEFANIA</t>
  </si>
  <si>
    <t>TREJO YLARRAZA</t>
  </si>
  <si>
    <t>MILAGROS CARIDAD</t>
  </si>
  <si>
    <t>SILVA CHIREL</t>
  </si>
  <si>
    <t>SIRMARY MILAGRO</t>
  </si>
  <si>
    <t>MARIA GABRIELA</t>
  </si>
  <si>
    <t>NARVAEZ MORALES</t>
  </si>
  <si>
    <t>JHOANA CAROLINA</t>
  </si>
  <si>
    <t>MACHUCA NACACHE</t>
  </si>
  <si>
    <t>JHAYDERLIZ SAHELIZ</t>
  </si>
  <si>
    <t>DIAZ MEDINA</t>
  </si>
  <si>
    <t>ADRIANA PATRICIA</t>
  </si>
  <si>
    <t>CE 11218854326</t>
  </si>
  <si>
    <t>VILLAHERMOSA ROJAS</t>
  </si>
  <si>
    <t>EVA ARANTXA</t>
  </si>
  <si>
    <t>CE 11321374820</t>
  </si>
  <si>
    <t>FIGUEROA  OROPEZA</t>
  </si>
  <si>
    <t>STEPHANY CAROLINA</t>
  </si>
  <si>
    <t>CE 11324791049</t>
  </si>
  <si>
    <t>MILANO INFANTE</t>
  </si>
  <si>
    <t>GEYNI JHOSLEN</t>
  </si>
  <si>
    <t>CE 11327541273</t>
  </si>
  <si>
    <t>CORREA DIAZ</t>
  </si>
  <si>
    <t>CARLOS DANIEL</t>
  </si>
  <si>
    <t>CE 11417000945</t>
  </si>
  <si>
    <t>PEREIRA CASTRO</t>
  </si>
  <si>
    <t>SABRINA AURIBEL</t>
  </si>
  <si>
    <t>MARIELSY CARMONA</t>
  </si>
  <si>
    <t>CURSO: 1º AÑO DE EDUCACIÓN MEDIA TECNICA MENCION TECNOLOGIA DE LOS ALIMENTOS    SECCION A</t>
  </si>
  <si>
    <t>AÑO ESCOLAR: 2025-2026</t>
  </si>
  <si>
    <t>LCDA. FLORAIMA CARPIO</t>
  </si>
  <si>
    <t>V 37.239.725</t>
  </si>
  <si>
    <t>CORREA REQUENA</t>
  </si>
  <si>
    <t>MARIA DE JESUS</t>
  </si>
  <si>
    <t>Msc CARMEN CABEZA</t>
  </si>
  <si>
    <t xml:space="preserve">     MARIELSY CARMONA</t>
  </si>
  <si>
    <t>MALDONADO URRETA</t>
  </si>
  <si>
    <t>MIGUEL</t>
  </si>
  <si>
    <t>CE 11327044492</t>
  </si>
  <si>
    <t>P</t>
  </si>
  <si>
    <t>PROMEDIO</t>
  </si>
</sst>
</file>

<file path=xl/styles.xml><?xml version="1.0" encoding="utf-8"?>
<styleSheet xmlns="http://schemas.openxmlformats.org/spreadsheetml/2006/main">
  <numFmts count="2">
    <numFmt numFmtId="164" formatCode="\V\ 00,000,000"/>
    <numFmt numFmtId="165" formatCode="00"/>
  </numFmts>
  <fonts count="21">
    <font>
      <sz val="11"/>
      <name val="Calibri"/>
    </font>
    <font>
      <sz val="10"/>
      <name val="Arial"/>
      <family val="2"/>
    </font>
    <font>
      <sz val="14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sz val="6"/>
      <name val="Times New Roman"/>
      <family val="1"/>
    </font>
    <font>
      <sz val="9"/>
      <color indexed="8"/>
      <name val="Times New Roman"/>
      <family val="1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/>
      <bottom/>
      <diagonal/>
    </border>
    <border>
      <left/>
      <right style="thin">
        <color indexed="63"/>
      </right>
      <top/>
      <bottom/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protection locked="0"/>
    </xf>
  </cellStyleXfs>
  <cellXfs count="93">
    <xf numFmtId="0" fontId="0" fillId="0" borderId="0" xfId="0">
      <alignment vertical="center"/>
    </xf>
    <xf numFmtId="0" fontId="1" fillId="0" borderId="0" xfId="1" applyFont="1" applyAlignment="1" applyProtection="1"/>
    <xf numFmtId="2" fontId="1" fillId="0" borderId="0" xfId="1" applyNumberFormat="1" applyFont="1" applyAlignment="1" applyProtection="1">
      <alignment horizontal="center"/>
    </xf>
    <xf numFmtId="0" fontId="2" fillId="0" borderId="0" xfId="1" applyFont="1" applyAlignment="1" applyProtection="1"/>
    <xf numFmtId="0" fontId="2" fillId="0" borderId="0" xfId="1" applyFont="1" applyBorder="1" applyAlignment="1" applyProtection="1"/>
    <xf numFmtId="0" fontId="1" fillId="0" borderId="0" xfId="1" applyFont="1" applyBorder="1" applyAlignment="1" applyProtection="1"/>
    <xf numFmtId="2" fontId="1" fillId="0" borderId="10" xfId="1" applyNumberFormat="1" applyFont="1" applyBorder="1" applyAlignment="1" applyProtection="1"/>
    <xf numFmtId="1" fontId="1" fillId="0" borderId="0" xfId="1" applyNumberFormat="1" applyFont="1" applyBorder="1" applyAlignment="1" applyProtection="1"/>
    <xf numFmtId="2" fontId="1" fillId="0" borderId="0" xfId="1" applyNumberFormat="1" applyFont="1" applyAlignment="1" applyProtection="1"/>
    <xf numFmtId="0" fontId="4" fillId="0" borderId="0" xfId="1" applyFont="1" applyFill="1" applyBorder="1" applyAlignment="1" applyProtection="1"/>
    <xf numFmtId="2" fontId="4" fillId="0" borderId="0" xfId="1" applyNumberFormat="1" applyFont="1" applyFill="1" applyAlignment="1" applyProtection="1"/>
    <xf numFmtId="0" fontId="4" fillId="0" borderId="0" xfId="1" applyFont="1" applyFill="1" applyAlignment="1" applyProtection="1"/>
    <xf numFmtId="0" fontId="5" fillId="0" borderId="0" xfId="1" applyFont="1" applyAlignment="1" applyProtection="1"/>
    <xf numFmtId="0" fontId="7" fillId="0" borderId="0" xfId="1" applyFont="1" applyAlignment="1" applyProtection="1"/>
    <xf numFmtId="0" fontId="8" fillId="0" borderId="0" xfId="1" applyFont="1" applyAlignment="1" applyProtection="1"/>
    <xf numFmtId="0" fontId="5" fillId="0" borderId="0" xfId="1" applyFont="1" applyAlignment="1" applyProtection="1">
      <alignment horizontal="center"/>
    </xf>
    <xf numFmtId="0" fontId="5" fillId="0" borderId="20" xfId="1" applyFont="1" applyBorder="1" applyAlignment="1" applyProtection="1">
      <alignment horizontal="center" vertical="center" wrapText="1"/>
    </xf>
    <xf numFmtId="0" fontId="5" fillId="0" borderId="21" xfId="1" applyFont="1" applyBorder="1" applyAlignment="1" applyProtection="1">
      <alignment horizontal="center" vertical="center" wrapText="1"/>
    </xf>
    <xf numFmtId="0" fontId="5" fillId="0" borderId="15" xfId="1" applyFont="1" applyBorder="1" applyAlignment="1" applyProtection="1">
      <alignment horizontal="center" vertical="center" wrapText="1"/>
    </xf>
    <xf numFmtId="0" fontId="11" fillId="0" borderId="17" xfId="1" applyFont="1" applyBorder="1" applyAlignment="1" applyProtection="1">
      <alignment horizontal="center" vertical="center" wrapText="1"/>
    </xf>
    <xf numFmtId="0" fontId="5" fillId="0" borderId="18" xfId="1" applyFont="1" applyBorder="1" applyAlignment="1" applyProtection="1">
      <alignment horizontal="center" vertical="center" wrapText="1"/>
    </xf>
    <xf numFmtId="0" fontId="5" fillId="0" borderId="5" xfId="1" applyFont="1" applyBorder="1" applyAlignment="1" applyProtection="1">
      <alignment horizontal="center" vertical="center" wrapText="1"/>
    </xf>
    <xf numFmtId="0" fontId="5" fillId="0" borderId="16" xfId="1" applyFont="1" applyBorder="1" applyAlignment="1" applyProtection="1">
      <alignment horizontal="center" vertical="center" wrapText="1"/>
    </xf>
    <xf numFmtId="0" fontId="5" fillId="0" borderId="6" xfId="1" applyFont="1" applyBorder="1" applyAlignment="1" applyProtection="1">
      <alignment horizontal="center"/>
    </xf>
    <xf numFmtId="164" fontId="12" fillId="0" borderId="7" xfId="0" applyNumberFormat="1" applyFont="1" applyBorder="1" applyAlignment="1" applyProtection="1">
      <alignment horizontal="center" vertical="center" shrinkToFit="1"/>
    </xf>
    <xf numFmtId="0" fontId="12" fillId="0" borderId="7" xfId="0" applyFont="1" applyBorder="1" applyAlignment="1" applyProtection="1">
      <alignment vertical="center" shrinkToFit="1"/>
    </xf>
    <xf numFmtId="0" fontId="5" fillId="0" borderId="0" xfId="1" applyFont="1" applyBorder="1" applyAlignment="1" applyProtection="1">
      <alignment horizontal="center" vertical="center"/>
    </xf>
    <xf numFmtId="0" fontId="5" fillId="0" borderId="0" xfId="1" applyFont="1" applyBorder="1" applyAlignment="1" applyProtection="1"/>
    <xf numFmtId="165" fontId="15" fillId="0" borderId="0" xfId="1" applyNumberFormat="1" applyFont="1" applyFill="1" applyBorder="1" applyAlignment="1" applyProtection="1">
      <alignment horizontal="center" vertical="center"/>
    </xf>
    <xf numFmtId="165" fontId="15" fillId="0" borderId="0" xfId="1" applyNumberFormat="1" applyFont="1" applyFill="1" applyBorder="1" applyAlignment="1" applyProtection="1">
      <alignment horizontal="center" vertical="center" wrapText="1"/>
    </xf>
    <xf numFmtId="165" fontId="15" fillId="0" borderId="0" xfId="1" applyNumberFormat="1" applyFont="1" applyFill="1" applyBorder="1" applyAlignment="1" applyProtection="1"/>
    <xf numFmtId="0" fontId="9" fillId="0" borderId="0" xfId="1" applyFont="1" applyBorder="1" applyAlignment="1" applyProtection="1">
      <alignment horizontal="right"/>
    </xf>
    <xf numFmtId="0" fontId="16" fillId="0" borderId="7" xfId="0" applyFont="1" applyBorder="1" applyAlignment="1" applyProtection="1">
      <alignment horizontal="center" vertical="center"/>
    </xf>
    <xf numFmtId="164" fontId="16" fillId="0" borderId="7" xfId="0" applyNumberFormat="1" applyFont="1" applyBorder="1" applyAlignment="1" applyProtection="1">
      <alignment horizontal="center" vertical="center" shrinkToFit="1"/>
    </xf>
    <xf numFmtId="0" fontId="16" fillId="0" borderId="7" xfId="0" applyFont="1" applyBorder="1" applyAlignment="1" applyProtection="1">
      <alignment vertical="center" shrinkToFit="1"/>
    </xf>
    <xf numFmtId="0" fontId="16" fillId="0" borderId="7" xfId="0" applyFont="1" applyBorder="1" applyAlignment="1" applyProtection="1">
      <alignment horizontal="left" vertical="center" shrinkToFit="1"/>
    </xf>
    <xf numFmtId="2" fontId="5" fillId="0" borderId="0" xfId="1" applyNumberFormat="1" applyFont="1" applyAlignment="1" applyProtection="1">
      <alignment horizontal="center"/>
    </xf>
    <xf numFmtId="0" fontId="11" fillId="0" borderId="19" xfId="1" applyFont="1" applyBorder="1" applyAlignment="1" applyProtection="1">
      <alignment horizontal="center" vertical="center" wrapText="1"/>
    </xf>
    <xf numFmtId="0" fontId="5" fillId="0" borderId="6" xfId="1" applyFont="1" applyFill="1" applyBorder="1" applyAlignment="1" applyProtection="1">
      <alignment horizontal="center"/>
    </xf>
    <xf numFmtId="0" fontId="5" fillId="0" borderId="6" xfId="1" applyFont="1" applyBorder="1" applyAlignment="1" applyProtection="1">
      <alignment horizontal="center" vertical="center"/>
    </xf>
    <xf numFmtId="1" fontId="14" fillId="0" borderId="3" xfId="1" applyNumberFormat="1" applyFont="1" applyFill="1" applyBorder="1" applyAlignment="1" applyProtection="1">
      <alignment horizontal="center" vertical="center" wrapText="1"/>
    </xf>
    <xf numFmtId="1" fontId="14" fillId="0" borderId="2" xfId="1" applyNumberFormat="1" applyFont="1" applyFill="1" applyBorder="1" applyAlignment="1" applyProtection="1">
      <alignment horizontal="center" vertical="center" wrapText="1"/>
    </xf>
    <xf numFmtId="1" fontId="14" fillId="0" borderId="8" xfId="1" applyNumberFormat="1" applyFont="1" applyFill="1" applyBorder="1" applyAlignment="1" applyProtection="1">
      <alignment horizontal="center" vertical="center" wrapText="1"/>
    </xf>
    <xf numFmtId="1" fontId="14" fillId="0" borderId="11" xfId="1" applyNumberFormat="1" applyFont="1" applyFill="1" applyBorder="1" applyAlignment="1" applyProtection="1">
      <alignment horizontal="center" vertical="center"/>
    </xf>
    <xf numFmtId="1" fontId="14" fillId="0" borderId="6" xfId="1" applyNumberFormat="1" applyFont="1" applyFill="1" applyBorder="1" applyAlignment="1" applyProtection="1">
      <alignment horizontal="center" vertical="center"/>
    </xf>
    <xf numFmtId="0" fontId="19" fillId="0" borderId="7" xfId="1" applyFont="1" applyBorder="1" applyAlignment="1" applyProtection="1">
      <alignment horizontal="center" vertical="center"/>
    </xf>
    <xf numFmtId="1" fontId="19" fillId="0" borderId="7" xfId="1" applyNumberFormat="1" applyFont="1" applyBorder="1" applyAlignment="1" applyProtection="1">
      <alignment horizontal="center" vertical="center"/>
    </xf>
    <xf numFmtId="2" fontId="9" fillId="0" borderId="0" xfId="1" applyNumberFormat="1" applyFont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horizontal="center" vertical="center" wrapText="1"/>
    </xf>
    <xf numFmtId="0" fontId="20" fillId="0" borderId="7" xfId="1" applyFont="1" applyBorder="1" applyAlignment="1" applyProtection="1">
      <alignment textRotation="90"/>
    </xf>
    <xf numFmtId="0" fontId="1" fillId="0" borderId="0" xfId="1" applyFont="1" applyBorder="1" applyAlignment="1" applyProtection="1">
      <alignment horizontal="left" vertical="top"/>
    </xf>
    <xf numFmtId="0" fontId="6" fillId="0" borderId="4" xfId="1" applyFont="1" applyBorder="1" applyAlignment="1" applyProtection="1">
      <alignment horizontal="center" vertical="center" wrapText="1"/>
    </xf>
    <xf numFmtId="0" fontId="6" fillId="0" borderId="1" xfId="1" applyFont="1" applyBorder="1" applyAlignment="1" applyProtection="1">
      <alignment horizontal="center" vertical="center" wrapText="1"/>
    </xf>
    <xf numFmtId="0" fontId="6" fillId="0" borderId="5" xfId="1" applyFont="1" applyBorder="1" applyAlignment="1" applyProtection="1">
      <alignment horizontal="center" vertical="center" wrapText="1"/>
    </xf>
    <xf numFmtId="0" fontId="6" fillId="0" borderId="0" xfId="1" applyFont="1" applyBorder="1" applyAlignment="1" applyProtection="1">
      <alignment horizontal="center"/>
    </xf>
    <xf numFmtId="0" fontId="5" fillId="0" borderId="0" xfId="1" applyFont="1" applyBorder="1" applyAlignment="1" applyProtection="1">
      <alignment horizontal="left" vertical="top"/>
    </xf>
    <xf numFmtId="0" fontId="7" fillId="0" borderId="0" xfId="1" applyFont="1" applyBorder="1" applyAlignment="1" applyProtection="1">
      <alignment horizontal="left"/>
    </xf>
    <xf numFmtId="0" fontId="9" fillId="0" borderId="23" xfId="1" applyFont="1" applyBorder="1" applyAlignment="1" applyProtection="1">
      <alignment horizontal="center" vertical="center" wrapText="1"/>
    </xf>
    <xf numFmtId="0" fontId="10" fillId="0" borderId="23" xfId="1" applyFont="1" applyBorder="1" applyAlignment="1" applyProtection="1">
      <alignment horizontal="center" vertical="center" wrapText="1"/>
    </xf>
    <xf numFmtId="0" fontId="7" fillId="0" borderId="0" xfId="1" applyFont="1" applyBorder="1" applyAlignment="1" applyProtection="1">
      <alignment horizontal="right"/>
    </xf>
    <xf numFmtId="0" fontId="5" fillId="0" borderId="0" xfId="1" applyFont="1" applyBorder="1" applyAlignment="1" applyProtection="1">
      <alignment horizontal="center"/>
    </xf>
    <xf numFmtId="2" fontId="5" fillId="0" borderId="0" xfId="1" applyNumberFormat="1" applyFont="1" applyBorder="1" applyAlignment="1" applyProtection="1">
      <alignment horizontal="center" shrinkToFit="1"/>
    </xf>
    <xf numFmtId="0" fontId="5" fillId="0" borderId="0" xfId="1" applyFont="1" applyBorder="1" applyAlignment="1" applyProtection="1">
      <alignment horizontal="center" shrinkToFit="1"/>
    </xf>
    <xf numFmtId="22" fontId="9" fillId="0" borderId="0" xfId="1" applyNumberFormat="1" applyFont="1" applyAlignment="1" applyProtection="1">
      <alignment horizontal="right"/>
    </xf>
    <xf numFmtId="0" fontId="9" fillId="0" borderId="24" xfId="1" applyFont="1" applyBorder="1" applyAlignment="1" applyProtection="1">
      <alignment horizontal="center" vertical="center" wrapText="1"/>
    </xf>
    <xf numFmtId="0" fontId="9" fillId="0" borderId="22" xfId="1" applyFont="1" applyBorder="1" applyAlignment="1" applyProtection="1">
      <alignment horizontal="center" vertical="center" wrapText="1"/>
    </xf>
    <xf numFmtId="2" fontId="9" fillId="0" borderId="0" xfId="1" applyNumberFormat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 wrapText="1"/>
    </xf>
    <xf numFmtId="0" fontId="9" fillId="0" borderId="14" xfId="1" applyFont="1" applyBorder="1" applyAlignment="1" applyProtection="1">
      <alignment horizontal="center" vertical="center" wrapText="1"/>
    </xf>
    <xf numFmtId="0" fontId="5" fillId="0" borderId="0" xfId="1" applyFont="1" applyBorder="1" applyAlignment="1" applyProtection="1">
      <alignment horizontal="center" vertical="center" wrapText="1"/>
    </xf>
    <xf numFmtId="0" fontId="15" fillId="0" borderId="0" xfId="1" applyFont="1" applyBorder="1" applyAlignment="1" applyProtection="1">
      <alignment horizontal="center" vertical="center" wrapText="1"/>
    </xf>
    <xf numFmtId="0" fontId="6" fillId="0" borderId="19" xfId="1" applyFont="1" applyBorder="1" applyAlignment="1" applyProtection="1">
      <alignment horizontal="center" vertical="center" wrapText="1"/>
    </xf>
    <xf numFmtId="0" fontId="17" fillId="0" borderId="12" xfId="1" applyFont="1" applyBorder="1" applyAlignment="1" applyProtection="1">
      <alignment horizontal="center" vertical="center" wrapText="1"/>
    </xf>
    <xf numFmtId="0" fontId="17" fillId="0" borderId="13" xfId="1" applyFont="1" applyBorder="1" applyAlignment="1" applyProtection="1">
      <alignment horizontal="center" vertical="center" wrapText="1"/>
    </xf>
    <xf numFmtId="0" fontId="17" fillId="0" borderId="14" xfId="1" applyFont="1" applyBorder="1" applyAlignment="1" applyProtection="1">
      <alignment horizontal="center" vertical="center" wrapText="1"/>
    </xf>
    <xf numFmtId="0" fontId="6" fillId="0" borderId="7" xfId="1" applyFont="1" applyBorder="1" applyAlignment="1" applyProtection="1">
      <alignment horizontal="center" vertical="center" wrapText="1"/>
    </xf>
    <xf numFmtId="0" fontId="9" fillId="0" borderId="12" xfId="1" applyFont="1" applyBorder="1" applyAlignment="1" applyProtection="1">
      <alignment horizontal="center" vertical="center" wrapText="1"/>
    </xf>
    <xf numFmtId="165" fontId="14" fillId="0" borderId="3" xfId="1" applyNumberFormat="1" applyFont="1" applyFill="1" applyBorder="1" applyAlignment="1" applyProtection="1">
      <alignment horizontal="center" vertical="center" wrapText="1"/>
    </xf>
    <xf numFmtId="165" fontId="14" fillId="0" borderId="9" xfId="1" applyNumberFormat="1" applyFont="1" applyFill="1" applyBorder="1" applyAlignment="1" applyProtection="1">
      <alignment horizontal="center" vertical="center"/>
    </xf>
    <xf numFmtId="165" fontId="14" fillId="0" borderId="2" xfId="1" applyNumberFormat="1" applyFont="1" applyFill="1" applyBorder="1" applyAlignment="1" applyProtection="1">
      <alignment horizontal="center" vertical="center" wrapText="1"/>
    </xf>
    <xf numFmtId="165" fontId="14" fillId="0" borderId="8" xfId="1" applyNumberFormat="1" applyFont="1" applyFill="1" applyBorder="1" applyAlignment="1" applyProtection="1">
      <alignment horizontal="center" vertical="center" wrapText="1"/>
    </xf>
    <xf numFmtId="165" fontId="14" fillId="0" borderId="3" xfId="1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 wrapText="1"/>
    </xf>
    <xf numFmtId="164" fontId="16" fillId="0" borderId="7" xfId="0" applyNumberFormat="1" applyFont="1" applyBorder="1" applyAlignment="1" applyProtection="1">
      <alignment horizontal="left" vertical="center" shrinkToFit="1"/>
    </xf>
    <xf numFmtId="164" fontId="18" fillId="0" borderId="3" xfId="0" applyNumberFormat="1" applyFont="1" applyBorder="1" applyAlignment="1" applyProtection="1">
      <alignment horizontal="center" vertical="center" shrinkToFit="1"/>
    </xf>
    <xf numFmtId="0" fontId="18" fillId="0" borderId="6" xfId="0" applyFont="1" applyBorder="1" applyAlignment="1" applyProtection="1">
      <alignment horizontal="left" vertical="center" shrinkToFit="1"/>
    </xf>
    <xf numFmtId="0" fontId="18" fillId="0" borderId="19" xfId="0" applyFont="1" applyBorder="1" applyAlignment="1" applyProtection="1">
      <alignment horizontal="left" vertical="center" shrinkToFit="1"/>
    </xf>
    <xf numFmtId="1" fontId="13" fillId="0" borderId="3" xfId="0" applyNumberFormat="1" applyFont="1" applyFill="1" applyBorder="1" applyAlignment="1" applyProtection="1">
      <alignment horizontal="center" vertical="center" wrapText="1"/>
    </xf>
    <xf numFmtId="1" fontId="13" fillId="0" borderId="8" xfId="0" applyNumberFormat="1" applyFont="1" applyFill="1" applyBorder="1" applyAlignment="1" applyProtection="1">
      <alignment horizontal="center" vertical="center" wrapText="1"/>
    </xf>
    <xf numFmtId="164" fontId="15" fillId="0" borderId="3" xfId="0" applyNumberFormat="1" applyFont="1" applyFill="1" applyBorder="1" applyAlignment="1" applyProtection="1">
      <alignment horizontal="center" vertical="center" shrinkToFit="1"/>
    </xf>
    <xf numFmtId="0" fontId="15" fillId="0" borderId="6" xfId="0" applyFont="1" applyFill="1" applyBorder="1" applyAlignment="1" applyProtection="1">
      <alignment horizontal="left" vertical="center" shrinkToFit="1"/>
    </xf>
    <xf numFmtId="1" fontId="14" fillId="0" borderId="8" xfId="0" applyNumberFormat="1" applyFont="1" applyFill="1" applyBorder="1" applyAlignment="1" applyProtection="1">
      <alignment horizontal="center" vertical="center" wrapText="1"/>
    </xf>
    <xf numFmtId="1" fontId="14" fillId="0" borderId="3" xfId="0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41"/>
  <sheetViews>
    <sheetView tabSelected="1" topLeftCell="A3" zoomScaleSheetLayoutView="100" workbookViewId="0">
      <pane xSplit="3" ySplit="2" topLeftCell="D5" activePane="bottomRight" state="frozen"/>
      <selection activeCell="A3" sqref="A3"/>
      <selection pane="topRight" activeCell="D3" sqref="D3"/>
      <selection pane="bottomLeft" activeCell="A5" sqref="A5"/>
      <selection pane="bottomRight" activeCell="O11" sqref="O11"/>
    </sheetView>
  </sheetViews>
  <sheetFormatPr baseColWidth="10" defaultColWidth="11.42578125" defaultRowHeight="12.75"/>
  <cols>
    <col min="1" max="1" width="3.28515625" style="1" customWidth="1"/>
    <col min="2" max="2" width="14.42578125" style="1" customWidth="1"/>
    <col min="3" max="4" width="18.7109375" style="1" customWidth="1"/>
    <col min="5" max="31" width="3.28515625" style="1" customWidth="1"/>
    <col min="32" max="32" width="4.140625" style="1" customWidth="1"/>
    <col min="33" max="40" width="3.28515625" style="1" customWidth="1"/>
    <col min="41" max="16384" width="11.42578125" style="1"/>
  </cols>
  <sheetData>
    <row r="1" spans="1:46">
      <c r="A1" s="50" t="s">
        <v>0</v>
      </c>
      <c r="B1" s="50"/>
      <c r="C1" s="50"/>
      <c r="D1" s="50"/>
    </row>
    <row r="2" spans="1:46">
      <c r="A2" s="50" t="s">
        <v>17</v>
      </c>
      <c r="B2" s="50"/>
      <c r="C2" s="50"/>
      <c r="D2" s="50"/>
      <c r="W2" s="2"/>
    </row>
    <row r="3" spans="1:46">
      <c r="A3" s="55" t="s">
        <v>1</v>
      </c>
      <c r="B3" s="55"/>
      <c r="C3" s="55"/>
      <c r="D3" s="55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6">
      <c r="A4" s="54" t="s">
        <v>16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</row>
    <row r="5" spans="1:46" s="3" customFormat="1" ht="18.75">
      <c r="A5" s="13" t="s">
        <v>69</v>
      </c>
      <c r="B5" s="13"/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4"/>
      <c r="AP5" s="4"/>
      <c r="AQ5" s="4"/>
    </row>
    <row r="6" spans="1:46" s="3" customFormat="1" ht="18" customHeight="1">
      <c r="A6" s="59" t="s">
        <v>2</v>
      </c>
      <c r="B6" s="59"/>
      <c r="C6" s="59"/>
      <c r="D6" s="59"/>
      <c r="E6" s="56" t="s">
        <v>76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14"/>
      <c r="AC6" s="13" t="s">
        <v>70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4"/>
      <c r="AP6" s="4"/>
      <c r="AQ6" s="4"/>
    </row>
    <row r="7" spans="1:46" ht="13.5" thickBot="1">
      <c r="A7" s="15"/>
      <c r="B7" s="15"/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6" ht="64.5" customHeight="1" thickBot="1">
      <c r="A8" s="52" t="s">
        <v>3</v>
      </c>
      <c r="B8" s="52" t="s">
        <v>4</v>
      </c>
      <c r="C8" s="52" t="s">
        <v>12</v>
      </c>
      <c r="D8" s="51" t="s">
        <v>13</v>
      </c>
      <c r="E8" s="65" t="s">
        <v>14</v>
      </c>
      <c r="F8" s="57"/>
      <c r="G8" s="57"/>
      <c r="H8" s="57"/>
      <c r="I8" s="64" t="s">
        <v>5</v>
      </c>
      <c r="J8" s="64"/>
      <c r="K8" s="64"/>
      <c r="L8" s="64"/>
      <c r="M8" s="57" t="s">
        <v>15</v>
      </c>
      <c r="N8" s="57"/>
      <c r="O8" s="57"/>
      <c r="P8" s="57"/>
      <c r="Q8" s="57" t="s">
        <v>6</v>
      </c>
      <c r="R8" s="57"/>
      <c r="S8" s="57"/>
      <c r="T8" s="57"/>
      <c r="U8" s="57" t="s">
        <v>20</v>
      </c>
      <c r="V8" s="57"/>
      <c r="W8" s="57"/>
      <c r="X8" s="57"/>
      <c r="Y8" s="57" t="s">
        <v>21</v>
      </c>
      <c r="Z8" s="57"/>
      <c r="AA8" s="57"/>
      <c r="AB8" s="57"/>
      <c r="AC8" s="58" t="s">
        <v>22</v>
      </c>
      <c r="AD8" s="58"/>
      <c r="AE8" s="58"/>
      <c r="AF8" s="58"/>
      <c r="AG8" s="58" t="s">
        <v>24</v>
      </c>
      <c r="AH8" s="58"/>
      <c r="AI8" s="58"/>
      <c r="AJ8" s="58"/>
      <c r="AK8" s="57" t="s">
        <v>23</v>
      </c>
      <c r="AL8" s="57"/>
      <c r="AM8" s="57"/>
      <c r="AN8" s="57"/>
      <c r="AQ8" s="5"/>
      <c r="AR8" s="5"/>
      <c r="AS8" s="5"/>
    </row>
    <row r="9" spans="1:46" ht="24" customHeight="1">
      <c r="A9" s="52"/>
      <c r="B9" s="52"/>
      <c r="C9" s="53"/>
      <c r="D9" s="52"/>
      <c r="E9" s="16">
        <v>1</v>
      </c>
      <c r="F9" s="17">
        <v>2</v>
      </c>
      <c r="G9" s="18">
        <v>3</v>
      </c>
      <c r="H9" s="19" t="s">
        <v>7</v>
      </c>
      <c r="I9" s="20">
        <v>1</v>
      </c>
      <c r="J9" s="20">
        <v>2</v>
      </c>
      <c r="K9" s="21">
        <v>3</v>
      </c>
      <c r="L9" s="19" t="s">
        <v>7</v>
      </c>
      <c r="M9" s="22">
        <v>1</v>
      </c>
      <c r="N9" s="20">
        <v>2</v>
      </c>
      <c r="O9" s="21">
        <v>3</v>
      </c>
      <c r="P9" s="19" t="s">
        <v>7</v>
      </c>
      <c r="Q9" s="20">
        <v>1</v>
      </c>
      <c r="R9" s="20">
        <v>2</v>
      </c>
      <c r="S9" s="21">
        <v>3</v>
      </c>
      <c r="T9" s="19" t="s">
        <v>7</v>
      </c>
      <c r="U9" s="22">
        <v>1</v>
      </c>
      <c r="V9" s="20">
        <v>2</v>
      </c>
      <c r="W9" s="21">
        <v>3</v>
      </c>
      <c r="X9" s="19" t="s">
        <v>7</v>
      </c>
      <c r="Y9" s="20">
        <v>1</v>
      </c>
      <c r="Z9" s="20">
        <v>2</v>
      </c>
      <c r="AA9" s="21">
        <v>3</v>
      </c>
      <c r="AB9" s="19" t="s">
        <v>7</v>
      </c>
      <c r="AC9" s="22">
        <v>1</v>
      </c>
      <c r="AD9" s="20">
        <v>2</v>
      </c>
      <c r="AE9" s="21">
        <v>3</v>
      </c>
      <c r="AF9" s="19" t="s">
        <v>7</v>
      </c>
      <c r="AG9" s="22">
        <v>1</v>
      </c>
      <c r="AH9" s="20">
        <v>2</v>
      </c>
      <c r="AI9" s="21">
        <v>3</v>
      </c>
      <c r="AJ9" s="19" t="s">
        <v>7</v>
      </c>
      <c r="AK9" s="20">
        <v>1</v>
      </c>
      <c r="AL9" s="20">
        <v>2</v>
      </c>
      <c r="AM9" s="21">
        <v>3</v>
      </c>
      <c r="AN9" s="19" t="s">
        <v>7</v>
      </c>
      <c r="AQ9" s="5"/>
      <c r="AR9" s="5"/>
      <c r="AS9" s="5"/>
    </row>
    <row r="10" spans="1:46" ht="20.100000000000001" customHeight="1">
      <c r="A10" s="32">
        <v>1</v>
      </c>
      <c r="B10" s="33">
        <v>35070486</v>
      </c>
      <c r="C10" s="34" t="s">
        <v>26</v>
      </c>
      <c r="D10" s="34" t="s">
        <v>27</v>
      </c>
      <c r="E10" s="82">
        <v>19</v>
      </c>
      <c r="F10" s="77">
        <v>18</v>
      </c>
      <c r="G10" s="81"/>
      <c r="H10" s="78">
        <f>E10+F10+G10</f>
        <v>37</v>
      </c>
      <c r="I10" s="79">
        <v>15</v>
      </c>
      <c r="J10" s="79">
        <v>15</v>
      </c>
      <c r="K10" s="81"/>
      <c r="L10" s="78">
        <f>I10+J10+K10</f>
        <v>30</v>
      </c>
      <c r="M10" s="80">
        <v>19</v>
      </c>
      <c r="N10" s="79">
        <v>18</v>
      </c>
      <c r="O10" s="81"/>
      <c r="P10" s="78">
        <f>M10+N10+O10</f>
        <v>37</v>
      </c>
      <c r="Q10" s="79">
        <v>20</v>
      </c>
      <c r="R10" s="79">
        <v>20</v>
      </c>
      <c r="S10" s="81"/>
      <c r="T10" s="78">
        <f>Q10+R10+S10</f>
        <v>40</v>
      </c>
      <c r="U10" s="80">
        <v>19</v>
      </c>
      <c r="V10" s="79">
        <v>19</v>
      </c>
      <c r="W10" s="81"/>
      <c r="X10" s="78">
        <f>U10+V10+W10</f>
        <v>38</v>
      </c>
      <c r="Y10" s="79">
        <v>18</v>
      </c>
      <c r="Z10" s="79">
        <v>18</v>
      </c>
      <c r="AA10" s="81"/>
      <c r="AB10" s="78">
        <f>Y10+Z10+AA10</f>
        <v>36</v>
      </c>
      <c r="AC10" s="80">
        <v>18</v>
      </c>
      <c r="AD10" s="79">
        <v>19</v>
      </c>
      <c r="AE10" s="81"/>
      <c r="AF10" s="78">
        <f>AC10+AD10+AE10</f>
        <v>37</v>
      </c>
      <c r="AG10" s="80">
        <v>19</v>
      </c>
      <c r="AH10" s="79">
        <v>19</v>
      </c>
      <c r="AI10" s="81"/>
      <c r="AJ10" s="78">
        <f>AG10+AH10+AI10</f>
        <v>38</v>
      </c>
      <c r="AK10" s="79">
        <v>17</v>
      </c>
      <c r="AL10" s="79">
        <v>19</v>
      </c>
      <c r="AM10" s="81"/>
      <c r="AN10" s="78">
        <f>AK10+AL10+AM10</f>
        <v>36</v>
      </c>
      <c r="AO10" s="6"/>
      <c r="AQ10" s="7"/>
      <c r="AR10" s="5"/>
      <c r="AS10" s="5"/>
      <c r="AT10" s="8"/>
    </row>
    <row r="11" spans="1:46" ht="20.100000000000001" customHeight="1">
      <c r="A11" s="32">
        <v>2</v>
      </c>
      <c r="B11" s="33">
        <v>35162363</v>
      </c>
      <c r="C11" s="35" t="s">
        <v>28</v>
      </c>
      <c r="D11" s="35" t="s">
        <v>29</v>
      </c>
      <c r="E11" s="82">
        <v>18</v>
      </c>
      <c r="F11" s="77">
        <v>19</v>
      </c>
      <c r="G11" s="81"/>
      <c r="H11" s="78">
        <f t="shared" ref="H11:H32" si="0">E11+F11+G11</f>
        <v>37</v>
      </c>
      <c r="I11" s="79">
        <v>18</v>
      </c>
      <c r="J11" s="79">
        <v>19</v>
      </c>
      <c r="K11" s="81"/>
      <c r="L11" s="78">
        <f t="shared" ref="L11:L32" si="1">I11+J11+K11</f>
        <v>37</v>
      </c>
      <c r="M11" s="80">
        <v>19</v>
      </c>
      <c r="N11" s="79">
        <v>19</v>
      </c>
      <c r="O11" s="81"/>
      <c r="P11" s="78">
        <f t="shared" ref="P11:P32" si="2">M11+N11+O11</f>
        <v>38</v>
      </c>
      <c r="Q11" s="79">
        <v>20</v>
      </c>
      <c r="R11" s="79">
        <v>20</v>
      </c>
      <c r="S11" s="81"/>
      <c r="T11" s="78">
        <f t="shared" ref="T11:T32" si="3">Q11+R11+S11</f>
        <v>40</v>
      </c>
      <c r="U11" s="80">
        <v>19</v>
      </c>
      <c r="V11" s="79">
        <v>19</v>
      </c>
      <c r="W11" s="81"/>
      <c r="X11" s="78">
        <f t="shared" ref="X11:X32" si="4">U11+V11+W11</f>
        <v>38</v>
      </c>
      <c r="Y11" s="79">
        <v>19</v>
      </c>
      <c r="Z11" s="79">
        <v>19</v>
      </c>
      <c r="AA11" s="81"/>
      <c r="AB11" s="78">
        <f t="shared" ref="AB11:AB32" si="5">Y11+Z11+AA11</f>
        <v>38</v>
      </c>
      <c r="AC11" s="80">
        <v>19</v>
      </c>
      <c r="AD11" s="79">
        <v>18</v>
      </c>
      <c r="AE11" s="81"/>
      <c r="AF11" s="78">
        <f>AC11+AD11+AE11</f>
        <v>37</v>
      </c>
      <c r="AG11" s="80">
        <v>18</v>
      </c>
      <c r="AH11" s="79">
        <v>19</v>
      </c>
      <c r="AI11" s="81"/>
      <c r="AJ11" s="78">
        <f t="shared" ref="AJ11:AJ32" si="6">AG11+AH11+AI11</f>
        <v>37</v>
      </c>
      <c r="AK11" s="79">
        <v>17</v>
      </c>
      <c r="AL11" s="79">
        <v>19</v>
      </c>
      <c r="AM11" s="81"/>
      <c r="AN11" s="78">
        <f t="shared" ref="AN11:AN32" si="7">AK11+AL11+AM11</f>
        <v>36</v>
      </c>
      <c r="AO11" s="6"/>
      <c r="AQ11" s="7"/>
      <c r="AR11" s="5"/>
      <c r="AS11" s="5"/>
      <c r="AT11" s="8"/>
    </row>
    <row r="12" spans="1:46" ht="20.100000000000001" customHeight="1">
      <c r="A12" s="32">
        <v>3</v>
      </c>
      <c r="B12" s="33">
        <v>35162480</v>
      </c>
      <c r="C12" s="35" t="s">
        <v>30</v>
      </c>
      <c r="D12" s="35" t="s">
        <v>31</v>
      </c>
      <c r="E12" s="82">
        <v>18</v>
      </c>
      <c r="F12" s="77">
        <v>19</v>
      </c>
      <c r="G12" s="81"/>
      <c r="H12" s="78">
        <f t="shared" si="0"/>
        <v>37</v>
      </c>
      <c r="I12" s="79">
        <v>18</v>
      </c>
      <c r="J12" s="79">
        <v>20</v>
      </c>
      <c r="K12" s="81"/>
      <c r="L12" s="78">
        <f t="shared" si="1"/>
        <v>38</v>
      </c>
      <c r="M12" s="80">
        <v>18</v>
      </c>
      <c r="N12" s="79">
        <v>19</v>
      </c>
      <c r="O12" s="81"/>
      <c r="P12" s="78">
        <f t="shared" si="2"/>
        <v>37</v>
      </c>
      <c r="Q12" s="79">
        <v>20</v>
      </c>
      <c r="R12" s="79">
        <v>20</v>
      </c>
      <c r="S12" s="81"/>
      <c r="T12" s="78">
        <f t="shared" si="3"/>
        <v>40</v>
      </c>
      <c r="U12" s="80">
        <v>20</v>
      </c>
      <c r="V12" s="79">
        <v>20</v>
      </c>
      <c r="W12" s="81"/>
      <c r="X12" s="78">
        <f t="shared" si="4"/>
        <v>40</v>
      </c>
      <c r="Y12" s="79">
        <v>19</v>
      </c>
      <c r="Z12" s="79">
        <v>19</v>
      </c>
      <c r="AA12" s="81"/>
      <c r="AB12" s="78">
        <f>Y12+Z12+AA12</f>
        <v>38</v>
      </c>
      <c r="AC12" s="80">
        <v>19</v>
      </c>
      <c r="AD12" s="79">
        <v>19</v>
      </c>
      <c r="AE12" s="81"/>
      <c r="AF12" s="78">
        <f>AC12+AD12+AE12</f>
        <v>38</v>
      </c>
      <c r="AG12" s="80">
        <v>18</v>
      </c>
      <c r="AH12" s="79">
        <v>19</v>
      </c>
      <c r="AI12" s="81"/>
      <c r="AJ12" s="78">
        <f t="shared" si="6"/>
        <v>37</v>
      </c>
      <c r="AK12" s="79">
        <v>18</v>
      </c>
      <c r="AL12" s="79">
        <v>20</v>
      </c>
      <c r="AM12" s="81"/>
      <c r="AN12" s="78">
        <f t="shared" si="7"/>
        <v>38</v>
      </c>
      <c r="AO12" s="6"/>
      <c r="AQ12" s="7"/>
      <c r="AR12" s="5"/>
      <c r="AS12" s="5"/>
      <c r="AT12" s="8"/>
    </row>
    <row r="13" spans="1:46" ht="20.100000000000001" customHeight="1">
      <c r="A13" s="32">
        <v>4</v>
      </c>
      <c r="B13" s="33">
        <v>35162748</v>
      </c>
      <c r="C13" s="35" t="s">
        <v>32</v>
      </c>
      <c r="D13" s="35" t="s">
        <v>33</v>
      </c>
      <c r="E13" s="82">
        <v>11</v>
      </c>
      <c r="F13" s="77">
        <v>18</v>
      </c>
      <c r="G13" s="81"/>
      <c r="H13" s="78">
        <f t="shared" si="0"/>
        <v>29</v>
      </c>
      <c r="I13" s="79">
        <v>11</v>
      </c>
      <c r="J13" s="79">
        <v>16</v>
      </c>
      <c r="K13" s="81"/>
      <c r="L13" s="78">
        <f t="shared" si="1"/>
        <v>27</v>
      </c>
      <c r="M13" s="80">
        <v>17</v>
      </c>
      <c r="N13" s="79">
        <v>18</v>
      </c>
      <c r="O13" s="81"/>
      <c r="P13" s="78">
        <f t="shared" si="2"/>
        <v>35</v>
      </c>
      <c r="Q13" s="79">
        <v>17</v>
      </c>
      <c r="R13" s="79">
        <v>18</v>
      </c>
      <c r="S13" s="81"/>
      <c r="T13" s="78">
        <f t="shared" si="3"/>
        <v>35</v>
      </c>
      <c r="U13" s="80">
        <v>17</v>
      </c>
      <c r="V13" s="79">
        <v>16</v>
      </c>
      <c r="W13" s="81"/>
      <c r="X13" s="78">
        <f t="shared" si="4"/>
        <v>33</v>
      </c>
      <c r="Y13" s="79">
        <v>18</v>
      </c>
      <c r="Z13" s="79">
        <v>17</v>
      </c>
      <c r="AA13" s="81"/>
      <c r="AB13" s="78">
        <f t="shared" si="5"/>
        <v>35</v>
      </c>
      <c r="AC13" s="80">
        <v>16</v>
      </c>
      <c r="AD13" s="79">
        <v>17</v>
      </c>
      <c r="AE13" s="81"/>
      <c r="AF13" s="78">
        <f t="shared" ref="AF13:AF32" si="8">AC13+AD13+AE13</f>
        <v>33</v>
      </c>
      <c r="AG13" s="80">
        <v>17</v>
      </c>
      <c r="AH13" s="79">
        <v>15</v>
      </c>
      <c r="AI13" s="81"/>
      <c r="AJ13" s="78">
        <f t="shared" si="6"/>
        <v>32</v>
      </c>
      <c r="AK13" s="79">
        <v>16</v>
      </c>
      <c r="AL13" s="79">
        <v>18</v>
      </c>
      <c r="AM13" s="81"/>
      <c r="AN13" s="78">
        <f t="shared" si="7"/>
        <v>34</v>
      </c>
      <c r="AO13" s="6"/>
      <c r="AQ13" s="7"/>
      <c r="AR13" s="5"/>
      <c r="AS13" s="5"/>
      <c r="AT13" s="8"/>
    </row>
    <row r="14" spans="1:46" ht="20.100000000000001" customHeight="1">
      <c r="A14" s="32">
        <v>5</v>
      </c>
      <c r="B14" s="33">
        <v>35864429</v>
      </c>
      <c r="C14" s="34" t="s">
        <v>34</v>
      </c>
      <c r="D14" s="34" t="s">
        <v>35</v>
      </c>
      <c r="E14" s="82">
        <v>15</v>
      </c>
      <c r="F14" s="77">
        <v>18</v>
      </c>
      <c r="G14" s="81"/>
      <c r="H14" s="78">
        <f t="shared" si="0"/>
        <v>33</v>
      </c>
      <c r="I14" s="79">
        <v>14</v>
      </c>
      <c r="J14" s="79">
        <v>17</v>
      </c>
      <c r="K14" s="81"/>
      <c r="L14" s="78">
        <f t="shared" si="1"/>
        <v>31</v>
      </c>
      <c r="M14" s="80">
        <v>16</v>
      </c>
      <c r="N14" s="79">
        <v>15</v>
      </c>
      <c r="O14" s="81"/>
      <c r="P14" s="78">
        <f t="shared" si="2"/>
        <v>31</v>
      </c>
      <c r="Q14" s="79">
        <v>20</v>
      </c>
      <c r="R14" s="79">
        <v>20</v>
      </c>
      <c r="S14" s="81"/>
      <c r="T14" s="78">
        <f t="shared" si="3"/>
        <v>40</v>
      </c>
      <c r="U14" s="80">
        <v>19</v>
      </c>
      <c r="V14" s="79">
        <v>17</v>
      </c>
      <c r="W14" s="81"/>
      <c r="X14" s="78">
        <f t="shared" si="4"/>
        <v>36</v>
      </c>
      <c r="Y14" s="79">
        <v>18</v>
      </c>
      <c r="Z14" s="79">
        <v>16</v>
      </c>
      <c r="AA14" s="81"/>
      <c r="AB14" s="78">
        <f t="shared" si="5"/>
        <v>34</v>
      </c>
      <c r="AC14" s="80">
        <v>15</v>
      </c>
      <c r="AD14" s="79">
        <v>15</v>
      </c>
      <c r="AE14" s="81"/>
      <c r="AF14" s="78">
        <f t="shared" si="8"/>
        <v>30</v>
      </c>
      <c r="AG14" s="80">
        <v>16</v>
      </c>
      <c r="AH14" s="79">
        <v>15</v>
      </c>
      <c r="AI14" s="81"/>
      <c r="AJ14" s="78">
        <f t="shared" si="6"/>
        <v>31</v>
      </c>
      <c r="AK14" s="79">
        <v>17</v>
      </c>
      <c r="AL14" s="79">
        <v>18</v>
      </c>
      <c r="AM14" s="81"/>
      <c r="AN14" s="78">
        <f t="shared" si="7"/>
        <v>35</v>
      </c>
      <c r="AO14" s="6"/>
      <c r="AQ14" s="7"/>
      <c r="AR14" s="5"/>
      <c r="AS14" s="5"/>
      <c r="AT14" s="8"/>
    </row>
    <row r="15" spans="1:46" ht="20.100000000000001" customHeight="1">
      <c r="A15" s="32">
        <v>6</v>
      </c>
      <c r="B15" s="33">
        <v>36076732</v>
      </c>
      <c r="C15" s="35" t="s">
        <v>36</v>
      </c>
      <c r="D15" s="35" t="s">
        <v>37</v>
      </c>
      <c r="E15" s="82">
        <v>19</v>
      </c>
      <c r="F15" s="77">
        <v>20</v>
      </c>
      <c r="G15" s="81"/>
      <c r="H15" s="78">
        <f t="shared" si="0"/>
        <v>39</v>
      </c>
      <c r="I15" s="79">
        <v>18</v>
      </c>
      <c r="J15" s="79">
        <v>20</v>
      </c>
      <c r="K15" s="81"/>
      <c r="L15" s="78">
        <f t="shared" si="1"/>
        <v>38</v>
      </c>
      <c r="M15" s="80">
        <v>20</v>
      </c>
      <c r="N15" s="79">
        <v>20</v>
      </c>
      <c r="O15" s="81"/>
      <c r="P15" s="78">
        <f t="shared" si="2"/>
        <v>40</v>
      </c>
      <c r="Q15" s="79">
        <v>20</v>
      </c>
      <c r="R15" s="79">
        <v>20</v>
      </c>
      <c r="S15" s="81"/>
      <c r="T15" s="78">
        <f t="shared" si="3"/>
        <v>40</v>
      </c>
      <c r="U15" s="80">
        <v>20</v>
      </c>
      <c r="V15" s="79">
        <v>20</v>
      </c>
      <c r="W15" s="81"/>
      <c r="X15" s="78">
        <f t="shared" si="4"/>
        <v>40</v>
      </c>
      <c r="Y15" s="79">
        <v>19</v>
      </c>
      <c r="Z15" s="79">
        <v>20</v>
      </c>
      <c r="AA15" s="81"/>
      <c r="AB15" s="78">
        <f t="shared" si="5"/>
        <v>39</v>
      </c>
      <c r="AC15" s="80">
        <v>19</v>
      </c>
      <c r="AD15" s="79">
        <v>19</v>
      </c>
      <c r="AE15" s="81"/>
      <c r="AF15" s="78">
        <f t="shared" si="8"/>
        <v>38</v>
      </c>
      <c r="AG15" s="80">
        <v>20</v>
      </c>
      <c r="AH15" s="79">
        <v>20</v>
      </c>
      <c r="AI15" s="81"/>
      <c r="AJ15" s="78">
        <f t="shared" si="6"/>
        <v>40</v>
      </c>
      <c r="AK15" s="79">
        <v>20</v>
      </c>
      <c r="AL15" s="79">
        <v>20</v>
      </c>
      <c r="AM15" s="81"/>
      <c r="AN15" s="78">
        <f t="shared" si="7"/>
        <v>40</v>
      </c>
      <c r="AO15" s="6"/>
      <c r="AQ15" s="7"/>
      <c r="AR15" s="5"/>
      <c r="AS15" s="5"/>
      <c r="AT15" s="8"/>
    </row>
    <row r="16" spans="1:46" ht="20.100000000000001" customHeight="1">
      <c r="A16" s="32">
        <v>7</v>
      </c>
      <c r="B16" s="33">
        <v>36361850</v>
      </c>
      <c r="C16" s="35" t="s">
        <v>38</v>
      </c>
      <c r="D16" s="35" t="s">
        <v>39</v>
      </c>
      <c r="E16" s="82">
        <v>18</v>
      </c>
      <c r="F16" s="77">
        <v>18</v>
      </c>
      <c r="G16" s="81"/>
      <c r="H16" s="78">
        <f t="shared" si="0"/>
        <v>36</v>
      </c>
      <c r="I16" s="79">
        <v>14</v>
      </c>
      <c r="J16" s="79">
        <v>15</v>
      </c>
      <c r="K16" s="81"/>
      <c r="L16" s="78">
        <f t="shared" si="1"/>
        <v>29</v>
      </c>
      <c r="M16" s="80">
        <v>17</v>
      </c>
      <c r="N16" s="79">
        <v>17</v>
      </c>
      <c r="O16" s="81"/>
      <c r="P16" s="78">
        <f t="shared" si="2"/>
        <v>34</v>
      </c>
      <c r="Q16" s="79">
        <v>18</v>
      </c>
      <c r="R16" s="79">
        <v>20</v>
      </c>
      <c r="S16" s="81"/>
      <c r="T16" s="78">
        <f t="shared" si="3"/>
        <v>38</v>
      </c>
      <c r="U16" s="80">
        <v>19</v>
      </c>
      <c r="V16" s="79">
        <v>18</v>
      </c>
      <c r="W16" s="81"/>
      <c r="X16" s="78">
        <f t="shared" si="4"/>
        <v>37</v>
      </c>
      <c r="Y16" s="79">
        <v>19</v>
      </c>
      <c r="Z16" s="79">
        <v>17</v>
      </c>
      <c r="AA16" s="81"/>
      <c r="AB16" s="78">
        <f t="shared" si="5"/>
        <v>36</v>
      </c>
      <c r="AC16" s="80">
        <v>15</v>
      </c>
      <c r="AD16" s="79">
        <v>15</v>
      </c>
      <c r="AE16" s="81"/>
      <c r="AF16" s="78">
        <f t="shared" si="8"/>
        <v>30</v>
      </c>
      <c r="AG16" s="80">
        <v>17</v>
      </c>
      <c r="AH16" s="79">
        <v>17</v>
      </c>
      <c r="AI16" s="81"/>
      <c r="AJ16" s="78">
        <f t="shared" si="6"/>
        <v>34</v>
      </c>
      <c r="AK16" s="79">
        <v>15</v>
      </c>
      <c r="AL16" s="79">
        <v>19</v>
      </c>
      <c r="AM16" s="81"/>
      <c r="AN16" s="78">
        <f t="shared" si="7"/>
        <v>34</v>
      </c>
      <c r="AO16" s="6"/>
      <c r="AQ16" s="7"/>
      <c r="AR16" s="5"/>
      <c r="AS16" s="5"/>
      <c r="AT16" s="8"/>
    </row>
    <row r="17" spans="1:46" ht="20.100000000000001" customHeight="1">
      <c r="A17" s="32">
        <v>8</v>
      </c>
      <c r="B17" s="33">
        <v>36441933</v>
      </c>
      <c r="C17" s="35" t="s">
        <v>40</v>
      </c>
      <c r="D17" s="35" t="s">
        <v>41</v>
      </c>
      <c r="E17" s="82">
        <v>19</v>
      </c>
      <c r="F17" s="77">
        <v>19</v>
      </c>
      <c r="G17" s="81"/>
      <c r="H17" s="78">
        <f t="shared" si="0"/>
        <v>38</v>
      </c>
      <c r="I17" s="79">
        <v>15</v>
      </c>
      <c r="J17" s="79">
        <v>18</v>
      </c>
      <c r="K17" s="81"/>
      <c r="L17" s="78">
        <f t="shared" si="1"/>
        <v>33</v>
      </c>
      <c r="M17" s="80">
        <v>19</v>
      </c>
      <c r="N17" s="79">
        <v>19</v>
      </c>
      <c r="O17" s="81"/>
      <c r="P17" s="78">
        <f t="shared" si="2"/>
        <v>38</v>
      </c>
      <c r="Q17" s="79">
        <v>19</v>
      </c>
      <c r="R17" s="79">
        <v>19</v>
      </c>
      <c r="S17" s="81"/>
      <c r="T17" s="78">
        <f t="shared" si="3"/>
        <v>38</v>
      </c>
      <c r="U17" s="80">
        <v>19</v>
      </c>
      <c r="V17" s="79">
        <v>19</v>
      </c>
      <c r="W17" s="81"/>
      <c r="X17" s="78">
        <f t="shared" si="4"/>
        <v>38</v>
      </c>
      <c r="Y17" s="79">
        <v>19</v>
      </c>
      <c r="Z17" s="79">
        <v>18</v>
      </c>
      <c r="AA17" s="81"/>
      <c r="AB17" s="78">
        <f t="shared" si="5"/>
        <v>37</v>
      </c>
      <c r="AC17" s="80">
        <v>19</v>
      </c>
      <c r="AD17" s="79">
        <v>19</v>
      </c>
      <c r="AE17" s="81"/>
      <c r="AF17" s="78">
        <f t="shared" si="8"/>
        <v>38</v>
      </c>
      <c r="AG17" s="80">
        <v>18</v>
      </c>
      <c r="AH17" s="79">
        <v>19</v>
      </c>
      <c r="AI17" s="81"/>
      <c r="AJ17" s="78">
        <f t="shared" si="6"/>
        <v>37</v>
      </c>
      <c r="AK17" s="79">
        <v>17</v>
      </c>
      <c r="AL17" s="79">
        <v>19</v>
      </c>
      <c r="AM17" s="81"/>
      <c r="AN17" s="78">
        <f t="shared" si="7"/>
        <v>36</v>
      </c>
      <c r="AO17" s="6"/>
      <c r="AQ17" s="7"/>
      <c r="AR17" s="5"/>
      <c r="AS17" s="5"/>
      <c r="AT17" s="8"/>
    </row>
    <row r="18" spans="1:46" ht="20.100000000000001" customHeight="1">
      <c r="A18" s="32">
        <v>9</v>
      </c>
      <c r="B18" s="33">
        <v>36539352</v>
      </c>
      <c r="C18" s="35" t="s">
        <v>42</v>
      </c>
      <c r="D18" s="35" t="s">
        <v>43</v>
      </c>
      <c r="E18" s="82">
        <v>18</v>
      </c>
      <c r="F18" s="77">
        <v>20</v>
      </c>
      <c r="G18" s="81"/>
      <c r="H18" s="78">
        <f t="shared" si="0"/>
        <v>38</v>
      </c>
      <c r="I18" s="79">
        <v>16</v>
      </c>
      <c r="J18" s="79">
        <v>19</v>
      </c>
      <c r="K18" s="81"/>
      <c r="L18" s="78">
        <f t="shared" si="1"/>
        <v>35</v>
      </c>
      <c r="M18" s="80">
        <v>19</v>
      </c>
      <c r="N18" s="79">
        <v>20</v>
      </c>
      <c r="O18" s="81"/>
      <c r="P18" s="78">
        <f t="shared" si="2"/>
        <v>39</v>
      </c>
      <c r="Q18" s="79">
        <v>20</v>
      </c>
      <c r="R18" s="79">
        <v>20</v>
      </c>
      <c r="S18" s="81"/>
      <c r="T18" s="78">
        <f t="shared" si="3"/>
        <v>40</v>
      </c>
      <c r="U18" s="80">
        <v>19</v>
      </c>
      <c r="V18" s="79">
        <v>18</v>
      </c>
      <c r="W18" s="81"/>
      <c r="X18" s="78">
        <f t="shared" si="4"/>
        <v>37</v>
      </c>
      <c r="Y18" s="79">
        <v>19</v>
      </c>
      <c r="Z18" s="79">
        <v>19</v>
      </c>
      <c r="AA18" s="81"/>
      <c r="AB18" s="78">
        <f t="shared" si="5"/>
        <v>38</v>
      </c>
      <c r="AC18" s="80">
        <v>18</v>
      </c>
      <c r="AD18" s="79">
        <v>18</v>
      </c>
      <c r="AE18" s="81"/>
      <c r="AF18" s="78">
        <f t="shared" si="8"/>
        <v>36</v>
      </c>
      <c r="AG18" s="80">
        <v>18</v>
      </c>
      <c r="AH18" s="79">
        <v>19</v>
      </c>
      <c r="AI18" s="81"/>
      <c r="AJ18" s="78">
        <f t="shared" si="6"/>
        <v>37</v>
      </c>
      <c r="AK18" s="79">
        <v>18</v>
      </c>
      <c r="AL18" s="79">
        <v>19</v>
      </c>
      <c r="AM18" s="81"/>
      <c r="AN18" s="78">
        <f t="shared" si="7"/>
        <v>37</v>
      </c>
      <c r="AO18" s="6"/>
      <c r="AQ18" s="7"/>
      <c r="AR18" s="5"/>
      <c r="AS18" s="5"/>
      <c r="AT18" s="8"/>
    </row>
    <row r="19" spans="1:46" ht="20.100000000000001" customHeight="1">
      <c r="A19" s="32">
        <v>10</v>
      </c>
      <c r="B19" s="33">
        <v>36562841</v>
      </c>
      <c r="C19" s="35" t="s">
        <v>44</v>
      </c>
      <c r="D19" s="35" t="s">
        <v>45</v>
      </c>
      <c r="E19" s="82">
        <v>18</v>
      </c>
      <c r="F19" s="77">
        <v>18</v>
      </c>
      <c r="G19" s="81"/>
      <c r="H19" s="78">
        <f t="shared" si="0"/>
        <v>36</v>
      </c>
      <c r="I19" s="79">
        <v>14</v>
      </c>
      <c r="J19" s="79">
        <v>18</v>
      </c>
      <c r="K19" s="81"/>
      <c r="L19" s="78">
        <f t="shared" si="1"/>
        <v>32</v>
      </c>
      <c r="M19" s="80">
        <v>18</v>
      </c>
      <c r="N19" s="79">
        <v>19</v>
      </c>
      <c r="O19" s="81"/>
      <c r="P19" s="78">
        <f t="shared" si="2"/>
        <v>37</v>
      </c>
      <c r="Q19" s="79">
        <v>20</v>
      </c>
      <c r="R19" s="79">
        <v>18</v>
      </c>
      <c r="S19" s="81"/>
      <c r="T19" s="78">
        <f t="shared" si="3"/>
        <v>38</v>
      </c>
      <c r="U19" s="80">
        <v>19</v>
      </c>
      <c r="V19" s="79">
        <v>19</v>
      </c>
      <c r="W19" s="81"/>
      <c r="X19" s="78">
        <f t="shared" si="4"/>
        <v>38</v>
      </c>
      <c r="Y19" s="79">
        <v>17</v>
      </c>
      <c r="Z19" s="79">
        <v>18</v>
      </c>
      <c r="AA19" s="81"/>
      <c r="AB19" s="78">
        <f t="shared" si="5"/>
        <v>35</v>
      </c>
      <c r="AC19" s="80">
        <v>18</v>
      </c>
      <c r="AD19" s="79">
        <v>18</v>
      </c>
      <c r="AE19" s="81"/>
      <c r="AF19" s="78">
        <f t="shared" si="8"/>
        <v>36</v>
      </c>
      <c r="AG19" s="80">
        <v>18</v>
      </c>
      <c r="AH19" s="79">
        <v>18</v>
      </c>
      <c r="AI19" s="81"/>
      <c r="AJ19" s="78">
        <f t="shared" si="6"/>
        <v>36</v>
      </c>
      <c r="AK19" s="79">
        <v>16</v>
      </c>
      <c r="AL19" s="79">
        <v>19</v>
      </c>
      <c r="AM19" s="81"/>
      <c r="AN19" s="78">
        <f t="shared" si="7"/>
        <v>35</v>
      </c>
      <c r="AO19" s="6"/>
      <c r="AQ19" s="7"/>
      <c r="AR19" s="5"/>
      <c r="AS19" s="5"/>
      <c r="AT19" s="8"/>
    </row>
    <row r="20" spans="1:46" ht="20.100000000000001" customHeight="1">
      <c r="A20" s="32">
        <v>11</v>
      </c>
      <c r="B20" s="33">
        <v>37076032</v>
      </c>
      <c r="C20" s="83" t="s">
        <v>25</v>
      </c>
      <c r="D20" s="35" t="s">
        <v>46</v>
      </c>
      <c r="E20" s="82">
        <v>18</v>
      </c>
      <c r="F20" s="77">
        <v>18</v>
      </c>
      <c r="G20" s="81"/>
      <c r="H20" s="78">
        <f t="shared" si="0"/>
        <v>36</v>
      </c>
      <c r="I20" s="79">
        <v>15</v>
      </c>
      <c r="J20" s="79">
        <v>18</v>
      </c>
      <c r="K20" s="81"/>
      <c r="L20" s="78">
        <f t="shared" si="1"/>
        <v>33</v>
      </c>
      <c r="M20" s="80">
        <v>18</v>
      </c>
      <c r="N20" s="79">
        <v>17</v>
      </c>
      <c r="O20" s="81"/>
      <c r="P20" s="78">
        <f t="shared" si="2"/>
        <v>35</v>
      </c>
      <c r="Q20" s="79">
        <v>20</v>
      </c>
      <c r="R20" s="79">
        <v>18</v>
      </c>
      <c r="S20" s="81"/>
      <c r="T20" s="78">
        <f t="shared" si="3"/>
        <v>38</v>
      </c>
      <c r="U20" s="80">
        <v>19</v>
      </c>
      <c r="V20" s="79">
        <v>19</v>
      </c>
      <c r="W20" s="81"/>
      <c r="X20" s="78">
        <f t="shared" si="4"/>
        <v>38</v>
      </c>
      <c r="Y20" s="79">
        <v>18</v>
      </c>
      <c r="Z20" s="79">
        <v>18</v>
      </c>
      <c r="AA20" s="81"/>
      <c r="AB20" s="78">
        <f t="shared" si="5"/>
        <v>36</v>
      </c>
      <c r="AC20" s="80">
        <v>19</v>
      </c>
      <c r="AD20" s="79">
        <v>17</v>
      </c>
      <c r="AE20" s="81"/>
      <c r="AF20" s="78">
        <f t="shared" si="8"/>
        <v>36</v>
      </c>
      <c r="AG20" s="80">
        <v>18</v>
      </c>
      <c r="AH20" s="79">
        <v>18</v>
      </c>
      <c r="AI20" s="81"/>
      <c r="AJ20" s="78">
        <f t="shared" si="6"/>
        <v>36</v>
      </c>
      <c r="AK20" s="79">
        <v>16</v>
      </c>
      <c r="AL20" s="79">
        <v>19</v>
      </c>
      <c r="AM20" s="81"/>
      <c r="AN20" s="78">
        <f t="shared" si="7"/>
        <v>35</v>
      </c>
      <c r="AO20" s="6"/>
      <c r="AQ20" s="7"/>
      <c r="AR20" s="5"/>
      <c r="AS20" s="5"/>
      <c r="AT20" s="8"/>
    </row>
    <row r="21" spans="1:46" ht="20.100000000000001" customHeight="1">
      <c r="A21" s="32">
        <v>12</v>
      </c>
      <c r="B21" s="33">
        <v>37121585</v>
      </c>
      <c r="C21" s="35" t="s">
        <v>47</v>
      </c>
      <c r="D21" s="35" t="s">
        <v>48</v>
      </c>
      <c r="E21" s="82">
        <v>18</v>
      </c>
      <c r="F21" s="77">
        <v>14</v>
      </c>
      <c r="G21" s="81"/>
      <c r="H21" s="78">
        <f t="shared" si="0"/>
        <v>32</v>
      </c>
      <c r="I21" s="79">
        <v>14</v>
      </c>
      <c r="J21" s="79">
        <v>18</v>
      </c>
      <c r="K21" s="81"/>
      <c r="L21" s="78">
        <f t="shared" si="1"/>
        <v>32</v>
      </c>
      <c r="M21" s="80">
        <v>17</v>
      </c>
      <c r="N21" s="79">
        <v>15</v>
      </c>
      <c r="O21" s="81"/>
      <c r="P21" s="78">
        <f t="shared" si="2"/>
        <v>32</v>
      </c>
      <c r="Q21" s="79">
        <v>19</v>
      </c>
      <c r="R21" s="79">
        <v>20</v>
      </c>
      <c r="S21" s="81"/>
      <c r="T21" s="78">
        <f t="shared" si="3"/>
        <v>39</v>
      </c>
      <c r="U21" s="80">
        <v>19</v>
      </c>
      <c r="V21" s="79">
        <v>15</v>
      </c>
      <c r="W21" s="81"/>
      <c r="X21" s="78">
        <f t="shared" si="4"/>
        <v>34</v>
      </c>
      <c r="Y21" s="79">
        <v>18</v>
      </c>
      <c r="Z21" s="79">
        <v>15</v>
      </c>
      <c r="AA21" s="81"/>
      <c r="AB21" s="78">
        <f t="shared" si="5"/>
        <v>33</v>
      </c>
      <c r="AC21" s="80">
        <v>19</v>
      </c>
      <c r="AD21" s="79">
        <v>16</v>
      </c>
      <c r="AE21" s="81"/>
      <c r="AF21" s="78">
        <f t="shared" si="8"/>
        <v>35</v>
      </c>
      <c r="AG21" s="80">
        <v>18</v>
      </c>
      <c r="AH21" s="79">
        <v>14</v>
      </c>
      <c r="AI21" s="81"/>
      <c r="AJ21" s="78">
        <f t="shared" si="6"/>
        <v>32</v>
      </c>
      <c r="AK21" s="79">
        <v>15</v>
      </c>
      <c r="AL21" s="79">
        <v>10</v>
      </c>
      <c r="AM21" s="81"/>
      <c r="AN21" s="78">
        <f t="shared" si="7"/>
        <v>25</v>
      </c>
      <c r="AO21" s="6"/>
      <c r="AQ21" s="7"/>
      <c r="AR21" s="5"/>
      <c r="AS21" s="5"/>
      <c r="AT21" s="8"/>
    </row>
    <row r="22" spans="1:46" ht="20.100000000000001" customHeight="1">
      <c r="A22" s="32">
        <v>13</v>
      </c>
      <c r="B22" s="33">
        <v>37154543</v>
      </c>
      <c r="C22" s="35" t="s">
        <v>49</v>
      </c>
      <c r="D22" s="35" t="s">
        <v>50</v>
      </c>
      <c r="E22" s="82">
        <v>14</v>
      </c>
      <c r="F22" s="77">
        <v>19</v>
      </c>
      <c r="G22" s="81"/>
      <c r="H22" s="78">
        <f t="shared" si="0"/>
        <v>33</v>
      </c>
      <c r="I22" s="79">
        <v>14</v>
      </c>
      <c r="J22" s="79">
        <v>17</v>
      </c>
      <c r="K22" s="81"/>
      <c r="L22" s="78">
        <f t="shared" si="1"/>
        <v>31</v>
      </c>
      <c r="M22" s="80">
        <v>17</v>
      </c>
      <c r="N22" s="79">
        <v>15</v>
      </c>
      <c r="O22" s="81"/>
      <c r="P22" s="78">
        <f t="shared" si="2"/>
        <v>32</v>
      </c>
      <c r="Q22" s="79">
        <v>20</v>
      </c>
      <c r="R22" s="79">
        <v>20</v>
      </c>
      <c r="S22" s="81"/>
      <c r="T22" s="78">
        <f t="shared" si="3"/>
        <v>40</v>
      </c>
      <c r="U22" s="80">
        <v>18</v>
      </c>
      <c r="V22" s="79">
        <v>18</v>
      </c>
      <c r="W22" s="81"/>
      <c r="X22" s="78">
        <f t="shared" si="4"/>
        <v>36</v>
      </c>
      <c r="Y22" s="79">
        <v>19</v>
      </c>
      <c r="Z22" s="79">
        <v>17</v>
      </c>
      <c r="AA22" s="81"/>
      <c r="AB22" s="78">
        <f t="shared" si="5"/>
        <v>36</v>
      </c>
      <c r="AC22" s="80">
        <v>18</v>
      </c>
      <c r="AD22" s="79">
        <v>14</v>
      </c>
      <c r="AE22" s="81"/>
      <c r="AF22" s="78">
        <f t="shared" si="8"/>
        <v>32</v>
      </c>
      <c r="AG22" s="80">
        <v>15</v>
      </c>
      <c r="AH22" s="79">
        <v>19</v>
      </c>
      <c r="AI22" s="81"/>
      <c r="AJ22" s="78">
        <f t="shared" si="6"/>
        <v>34</v>
      </c>
      <c r="AK22" s="79">
        <v>16</v>
      </c>
      <c r="AL22" s="79">
        <v>19</v>
      </c>
      <c r="AM22" s="81"/>
      <c r="AN22" s="78">
        <f t="shared" si="7"/>
        <v>35</v>
      </c>
      <c r="AO22" s="6"/>
      <c r="AQ22" s="7"/>
      <c r="AR22" s="5"/>
      <c r="AS22" s="5"/>
      <c r="AT22" s="8"/>
    </row>
    <row r="23" spans="1:46" ht="20.100000000000001" customHeight="1">
      <c r="A23" s="32">
        <v>14</v>
      </c>
      <c r="B23" s="33">
        <v>37155872</v>
      </c>
      <c r="C23" s="35" t="s">
        <v>51</v>
      </c>
      <c r="D23" s="35" t="s">
        <v>52</v>
      </c>
      <c r="E23" s="82">
        <v>18</v>
      </c>
      <c r="F23" s="77">
        <v>19</v>
      </c>
      <c r="G23" s="81"/>
      <c r="H23" s="78">
        <f t="shared" si="0"/>
        <v>37</v>
      </c>
      <c r="I23" s="79">
        <v>16</v>
      </c>
      <c r="J23" s="79">
        <v>19</v>
      </c>
      <c r="K23" s="81"/>
      <c r="L23" s="78">
        <f t="shared" si="1"/>
        <v>35</v>
      </c>
      <c r="M23" s="80">
        <v>17</v>
      </c>
      <c r="N23" s="79">
        <v>19</v>
      </c>
      <c r="O23" s="81"/>
      <c r="P23" s="78">
        <f t="shared" si="2"/>
        <v>36</v>
      </c>
      <c r="Q23" s="79">
        <v>20</v>
      </c>
      <c r="R23" s="79">
        <v>19</v>
      </c>
      <c r="S23" s="81"/>
      <c r="T23" s="78">
        <f t="shared" si="3"/>
        <v>39</v>
      </c>
      <c r="U23" s="80">
        <v>19</v>
      </c>
      <c r="V23" s="79">
        <v>19</v>
      </c>
      <c r="W23" s="81"/>
      <c r="X23" s="78">
        <f t="shared" si="4"/>
        <v>38</v>
      </c>
      <c r="Y23" s="79">
        <v>19</v>
      </c>
      <c r="Z23" s="79">
        <v>18</v>
      </c>
      <c r="AA23" s="81"/>
      <c r="AB23" s="78">
        <f t="shared" si="5"/>
        <v>37</v>
      </c>
      <c r="AC23" s="80">
        <v>19</v>
      </c>
      <c r="AD23" s="79">
        <v>18</v>
      </c>
      <c r="AE23" s="81"/>
      <c r="AF23" s="78">
        <f t="shared" si="8"/>
        <v>37</v>
      </c>
      <c r="AG23" s="80">
        <v>18</v>
      </c>
      <c r="AH23" s="79">
        <v>17</v>
      </c>
      <c r="AI23" s="81"/>
      <c r="AJ23" s="78">
        <f t="shared" si="6"/>
        <v>35</v>
      </c>
      <c r="AK23" s="79">
        <v>16</v>
      </c>
      <c r="AL23" s="79">
        <v>19</v>
      </c>
      <c r="AM23" s="81"/>
      <c r="AN23" s="78">
        <f t="shared" si="7"/>
        <v>35</v>
      </c>
      <c r="AO23" s="6"/>
      <c r="AQ23" s="7"/>
      <c r="AR23" s="5"/>
      <c r="AS23" s="5"/>
      <c r="AT23" s="8"/>
    </row>
    <row r="24" spans="1:46" ht="20.100000000000001" customHeight="1">
      <c r="A24" s="32">
        <v>15</v>
      </c>
      <c r="B24" s="33" t="s">
        <v>53</v>
      </c>
      <c r="C24" s="35" t="s">
        <v>54</v>
      </c>
      <c r="D24" s="35" t="s">
        <v>55</v>
      </c>
      <c r="E24" s="82">
        <v>19</v>
      </c>
      <c r="F24" s="77">
        <v>19</v>
      </c>
      <c r="G24" s="81"/>
      <c r="H24" s="78">
        <f t="shared" si="0"/>
        <v>38</v>
      </c>
      <c r="I24" s="79">
        <v>19</v>
      </c>
      <c r="J24" s="79">
        <v>20</v>
      </c>
      <c r="K24" s="81"/>
      <c r="L24" s="78">
        <f t="shared" si="1"/>
        <v>39</v>
      </c>
      <c r="M24" s="80">
        <v>19</v>
      </c>
      <c r="N24" s="79">
        <v>19</v>
      </c>
      <c r="O24" s="81"/>
      <c r="P24" s="78">
        <f t="shared" si="2"/>
        <v>38</v>
      </c>
      <c r="Q24" s="79">
        <v>19</v>
      </c>
      <c r="R24" s="79">
        <v>20</v>
      </c>
      <c r="S24" s="81"/>
      <c r="T24" s="78">
        <f t="shared" si="3"/>
        <v>39</v>
      </c>
      <c r="U24" s="80">
        <v>19</v>
      </c>
      <c r="V24" s="79">
        <v>19</v>
      </c>
      <c r="W24" s="81"/>
      <c r="X24" s="78">
        <f t="shared" si="4"/>
        <v>38</v>
      </c>
      <c r="Y24" s="79">
        <v>19</v>
      </c>
      <c r="Z24" s="79">
        <v>19</v>
      </c>
      <c r="AA24" s="81"/>
      <c r="AB24" s="78">
        <f t="shared" si="5"/>
        <v>38</v>
      </c>
      <c r="AC24" s="80">
        <v>19</v>
      </c>
      <c r="AD24" s="79">
        <v>19</v>
      </c>
      <c r="AE24" s="81"/>
      <c r="AF24" s="78">
        <f t="shared" si="8"/>
        <v>38</v>
      </c>
      <c r="AG24" s="80">
        <v>19</v>
      </c>
      <c r="AH24" s="79">
        <v>19</v>
      </c>
      <c r="AI24" s="81"/>
      <c r="AJ24" s="78">
        <f t="shared" si="6"/>
        <v>38</v>
      </c>
      <c r="AK24" s="79">
        <v>19</v>
      </c>
      <c r="AL24" s="79">
        <v>20</v>
      </c>
      <c r="AM24" s="81"/>
      <c r="AN24" s="78">
        <f t="shared" si="7"/>
        <v>39</v>
      </c>
      <c r="AO24" s="6"/>
      <c r="AQ24" s="7"/>
      <c r="AR24" s="5"/>
      <c r="AS24" s="5"/>
      <c r="AT24" s="8"/>
    </row>
    <row r="25" spans="1:46" ht="20.100000000000001" customHeight="1">
      <c r="A25" s="32">
        <v>16</v>
      </c>
      <c r="B25" s="33" t="s">
        <v>56</v>
      </c>
      <c r="C25" s="34" t="s">
        <v>57</v>
      </c>
      <c r="D25" s="34" t="s">
        <v>58</v>
      </c>
      <c r="E25" s="82">
        <v>19</v>
      </c>
      <c r="F25" s="77">
        <v>19</v>
      </c>
      <c r="G25" s="81"/>
      <c r="H25" s="78">
        <f t="shared" si="0"/>
        <v>38</v>
      </c>
      <c r="I25" s="79">
        <v>19</v>
      </c>
      <c r="J25" s="79">
        <v>19</v>
      </c>
      <c r="K25" s="81"/>
      <c r="L25" s="78">
        <f t="shared" si="1"/>
        <v>38</v>
      </c>
      <c r="M25" s="80">
        <v>19</v>
      </c>
      <c r="N25" s="79">
        <v>19</v>
      </c>
      <c r="O25" s="81"/>
      <c r="P25" s="78">
        <f t="shared" si="2"/>
        <v>38</v>
      </c>
      <c r="Q25" s="79">
        <v>20</v>
      </c>
      <c r="R25" s="79">
        <v>20</v>
      </c>
      <c r="S25" s="81"/>
      <c r="T25" s="78">
        <f t="shared" si="3"/>
        <v>40</v>
      </c>
      <c r="U25" s="80">
        <v>19</v>
      </c>
      <c r="V25" s="79">
        <v>19</v>
      </c>
      <c r="W25" s="81"/>
      <c r="X25" s="78">
        <f t="shared" si="4"/>
        <v>38</v>
      </c>
      <c r="Y25" s="79">
        <v>19</v>
      </c>
      <c r="Z25" s="79">
        <v>19</v>
      </c>
      <c r="AA25" s="81"/>
      <c r="AB25" s="78">
        <f t="shared" si="5"/>
        <v>38</v>
      </c>
      <c r="AC25" s="80">
        <v>19</v>
      </c>
      <c r="AD25" s="79">
        <v>19</v>
      </c>
      <c r="AE25" s="81"/>
      <c r="AF25" s="78">
        <f t="shared" si="8"/>
        <v>38</v>
      </c>
      <c r="AG25" s="80">
        <v>19</v>
      </c>
      <c r="AH25" s="79">
        <v>20</v>
      </c>
      <c r="AI25" s="81"/>
      <c r="AJ25" s="78">
        <f t="shared" si="6"/>
        <v>39</v>
      </c>
      <c r="AK25" s="79">
        <v>18</v>
      </c>
      <c r="AL25" s="79">
        <v>20</v>
      </c>
      <c r="AM25" s="81"/>
      <c r="AN25" s="78">
        <f t="shared" si="7"/>
        <v>38</v>
      </c>
      <c r="AO25" s="6"/>
      <c r="AQ25" s="7"/>
      <c r="AR25" s="5"/>
      <c r="AS25" s="5"/>
      <c r="AT25" s="8"/>
    </row>
    <row r="26" spans="1:46" ht="20.100000000000001" customHeight="1">
      <c r="A26" s="32">
        <v>17</v>
      </c>
      <c r="B26" s="33" t="s">
        <v>59</v>
      </c>
      <c r="C26" s="35" t="s">
        <v>60</v>
      </c>
      <c r="D26" s="35" t="s">
        <v>61</v>
      </c>
      <c r="E26" s="82">
        <v>13</v>
      </c>
      <c r="F26" s="77">
        <v>13</v>
      </c>
      <c r="G26" s="81"/>
      <c r="H26" s="78">
        <f t="shared" si="0"/>
        <v>26</v>
      </c>
      <c r="I26" s="79">
        <v>7</v>
      </c>
      <c r="J26" s="79">
        <v>15</v>
      </c>
      <c r="K26" s="81"/>
      <c r="L26" s="78">
        <f t="shared" si="1"/>
        <v>22</v>
      </c>
      <c r="M26" s="80">
        <v>15</v>
      </c>
      <c r="N26" s="79">
        <v>16</v>
      </c>
      <c r="O26" s="81"/>
      <c r="P26" s="78">
        <f t="shared" si="2"/>
        <v>31</v>
      </c>
      <c r="Q26" s="79">
        <v>17</v>
      </c>
      <c r="R26" s="79">
        <v>19</v>
      </c>
      <c r="S26" s="81"/>
      <c r="T26" s="78">
        <f t="shared" si="3"/>
        <v>36</v>
      </c>
      <c r="U26" s="80">
        <v>14</v>
      </c>
      <c r="V26" s="79">
        <v>15</v>
      </c>
      <c r="W26" s="81"/>
      <c r="X26" s="78">
        <f t="shared" si="4"/>
        <v>29</v>
      </c>
      <c r="Y26" s="79">
        <v>17</v>
      </c>
      <c r="Z26" s="79">
        <v>15</v>
      </c>
      <c r="AA26" s="81"/>
      <c r="AB26" s="78">
        <f t="shared" si="5"/>
        <v>32</v>
      </c>
      <c r="AC26" s="80">
        <v>15</v>
      </c>
      <c r="AD26" s="79">
        <v>14</v>
      </c>
      <c r="AE26" s="81"/>
      <c r="AF26" s="78">
        <f t="shared" si="8"/>
        <v>29</v>
      </c>
      <c r="AG26" s="80">
        <v>13</v>
      </c>
      <c r="AH26" s="79">
        <v>13</v>
      </c>
      <c r="AI26" s="81"/>
      <c r="AJ26" s="78">
        <f t="shared" si="6"/>
        <v>26</v>
      </c>
      <c r="AK26" s="79">
        <v>12</v>
      </c>
      <c r="AL26" s="79">
        <v>18</v>
      </c>
      <c r="AM26" s="81"/>
      <c r="AN26" s="78">
        <f t="shared" si="7"/>
        <v>30</v>
      </c>
      <c r="AO26" s="6"/>
      <c r="AQ26" s="7"/>
      <c r="AR26" s="5"/>
      <c r="AS26" s="5"/>
      <c r="AT26" s="8"/>
    </row>
    <row r="27" spans="1:46" ht="20.100000000000001" customHeight="1">
      <c r="A27" s="32">
        <v>18</v>
      </c>
      <c r="B27" s="33" t="s">
        <v>62</v>
      </c>
      <c r="C27" s="35" t="s">
        <v>63</v>
      </c>
      <c r="D27" s="35" t="s">
        <v>64</v>
      </c>
      <c r="E27" s="82">
        <v>16</v>
      </c>
      <c r="F27" s="77">
        <v>19</v>
      </c>
      <c r="G27" s="81"/>
      <c r="H27" s="78">
        <f t="shared" si="0"/>
        <v>35</v>
      </c>
      <c r="I27" s="79">
        <v>17</v>
      </c>
      <c r="J27" s="79">
        <v>18</v>
      </c>
      <c r="K27" s="81"/>
      <c r="L27" s="78">
        <f t="shared" si="1"/>
        <v>35</v>
      </c>
      <c r="M27" s="80">
        <v>17</v>
      </c>
      <c r="N27" s="79">
        <v>18</v>
      </c>
      <c r="O27" s="81"/>
      <c r="P27" s="78">
        <f t="shared" si="2"/>
        <v>35</v>
      </c>
      <c r="Q27" s="79">
        <v>20</v>
      </c>
      <c r="R27" s="79">
        <v>20</v>
      </c>
      <c r="S27" s="81"/>
      <c r="T27" s="78">
        <f t="shared" si="3"/>
        <v>40</v>
      </c>
      <c r="U27" s="80">
        <v>18</v>
      </c>
      <c r="V27" s="79">
        <v>18</v>
      </c>
      <c r="W27" s="81"/>
      <c r="X27" s="78">
        <f t="shared" si="4"/>
        <v>36</v>
      </c>
      <c r="Y27" s="79">
        <v>17</v>
      </c>
      <c r="Z27" s="79">
        <v>18</v>
      </c>
      <c r="AA27" s="81"/>
      <c r="AB27" s="78">
        <f t="shared" si="5"/>
        <v>35</v>
      </c>
      <c r="AC27" s="80">
        <v>18</v>
      </c>
      <c r="AD27" s="79">
        <v>17</v>
      </c>
      <c r="AE27" s="81"/>
      <c r="AF27" s="78">
        <f t="shared" si="8"/>
        <v>35</v>
      </c>
      <c r="AG27" s="80">
        <v>19</v>
      </c>
      <c r="AH27" s="79">
        <v>18</v>
      </c>
      <c r="AI27" s="81"/>
      <c r="AJ27" s="78">
        <f t="shared" si="6"/>
        <v>37</v>
      </c>
      <c r="AK27" s="79">
        <v>17</v>
      </c>
      <c r="AL27" s="79">
        <v>17</v>
      </c>
      <c r="AM27" s="81"/>
      <c r="AN27" s="78">
        <f t="shared" si="7"/>
        <v>34</v>
      </c>
      <c r="AO27" s="6"/>
      <c r="AQ27" s="7"/>
      <c r="AR27" s="5"/>
      <c r="AS27" s="5"/>
      <c r="AT27" s="8"/>
    </row>
    <row r="28" spans="1:46" ht="20.100000000000001" customHeight="1">
      <c r="A28" s="32">
        <v>19</v>
      </c>
      <c r="B28" s="33" t="s">
        <v>65</v>
      </c>
      <c r="C28" s="34" t="s">
        <v>66</v>
      </c>
      <c r="D28" s="34" t="s">
        <v>67</v>
      </c>
      <c r="E28" s="82">
        <v>12</v>
      </c>
      <c r="F28" s="77">
        <v>17</v>
      </c>
      <c r="G28" s="81"/>
      <c r="H28" s="78">
        <f t="shared" si="0"/>
        <v>29</v>
      </c>
      <c r="I28" s="79">
        <v>7</v>
      </c>
      <c r="J28" s="79">
        <v>15</v>
      </c>
      <c r="K28" s="81"/>
      <c r="L28" s="78">
        <f t="shared" si="1"/>
        <v>22</v>
      </c>
      <c r="M28" s="80">
        <v>15</v>
      </c>
      <c r="N28" s="79">
        <v>15</v>
      </c>
      <c r="O28" s="81"/>
      <c r="P28" s="78">
        <f t="shared" si="2"/>
        <v>30</v>
      </c>
      <c r="Q28" s="79">
        <v>18</v>
      </c>
      <c r="R28" s="79">
        <v>18</v>
      </c>
      <c r="S28" s="81"/>
      <c r="T28" s="78">
        <f t="shared" si="3"/>
        <v>36</v>
      </c>
      <c r="U28" s="80">
        <v>14</v>
      </c>
      <c r="V28" s="79">
        <v>15</v>
      </c>
      <c r="W28" s="81"/>
      <c r="X28" s="78">
        <f t="shared" si="4"/>
        <v>29</v>
      </c>
      <c r="Y28" s="79">
        <v>18</v>
      </c>
      <c r="Z28" s="79">
        <v>15</v>
      </c>
      <c r="AA28" s="81"/>
      <c r="AB28" s="78">
        <f t="shared" si="5"/>
        <v>33</v>
      </c>
      <c r="AC28" s="80">
        <v>14</v>
      </c>
      <c r="AD28" s="79">
        <v>12</v>
      </c>
      <c r="AE28" s="81"/>
      <c r="AF28" s="78">
        <f t="shared" si="8"/>
        <v>26</v>
      </c>
      <c r="AG28" s="80">
        <v>12</v>
      </c>
      <c r="AH28" s="79">
        <v>13</v>
      </c>
      <c r="AI28" s="81"/>
      <c r="AJ28" s="78">
        <f t="shared" si="6"/>
        <v>25</v>
      </c>
      <c r="AK28" s="79">
        <v>12</v>
      </c>
      <c r="AL28" s="79">
        <v>18</v>
      </c>
      <c r="AM28" s="81"/>
      <c r="AN28" s="78">
        <f t="shared" si="7"/>
        <v>30</v>
      </c>
      <c r="AO28" s="6"/>
      <c r="AQ28" s="7"/>
      <c r="AR28" s="5"/>
      <c r="AS28" s="5"/>
      <c r="AT28" s="8"/>
    </row>
    <row r="29" spans="1:46" ht="20.100000000000001" customHeight="1">
      <c r="A29" s="39">
        <v>20</v>
      </c>
      <c r="B29" s="33" t="s">
        <v>72</v>
      </c>
      <c r="C29" s="35" t="s">
        <v>73</v>
      </c>
      <c r="D29" s="34" t="s">
        <v>74</v>
      </c>
      <c r="E29" s="82">
        <v>12</v>
      </c>
      <c r="F29" s="77">
        <v>19</v>
      </c>
      <c r="G29" s="81"/>
      <c r="H29" s="78">
        <f t="shared" si="0"/>
        <v>31</v>
      </c>
      <c r="I29" s="79">
        <v>13</v>
      </c>
      <c r="J29" s="79">
        <v>20</v>
      </c>
      <c r="K29" s="81"/>
      <c r="L29" s="78">
        <f t="shared" si="1"/>
        <v>33</v>
      </c>
      <c r="M29" s="80">
        <v>17</v>
      </c>
      <c r="N29" s="79">
        <v>18</v>
      </c>
      <c r="O29" s="81"/>
      <c r="P29" s="78">
        <f t="shared" si="2"/>
        <v>35</v>
      </c>
      <c r="Q29" s="79">
        <v>17</v>
      </c>
      <c r="R29" s="79">
        <v>20</v>
      </c>
      <c r="S29" s="81"/>
      <c r="T29" s="78">
        <f t="shared" si="3"/>
        <v>37</v>
      </c>
      <c r="U29" s="80">
        <v>18</v>
      </c>
      <c r="V29" s="79">
        <v>20</v>
      </c>
      <c r="W29" s="81"/>
      <c r="X29" s="78">
        <f t="shared" si="4"/>
        <v>38</v>
      </c>
      <c r="Y29" s="79">
        <v>18</v>
      </c>
      <c r="Z29" s="79">
        <v>19</v>
      </c>
      <c r="AA29" s="81"/>
      <c r="AB29" s="78">
        <f t="shared" si="5"/>
        <v>37</v>
      </c>
      <c r="AC29" s="80">
        <v>18</v>
      </c>
      <c r="AD29" s="79">
        <v>18</v>
      </c>
      <c r="AE29" s="81"/>
      <c r="AF29" s="78">
        <f t="shared" si="8"/>
        <v>36</v>
      </c>
      <c r="AG29" s="80">
        <v>18</v>
      </c>
      <c r="AH29" s="79">
        <v>18</v>
      </c>
      <c r="AI29" s="81"/>
      <c r="AJ29" s="78">
        <f t="shared" si="6"/>
        <v>36</v>
      </c>
      <c r="AK29" s="79">
        <v>18</v>
      </c>
      <c r="AL29" s="79">
        <v>19</v>
      </c>
      <c r="AM29" s="81"/>
      <c r="AN29" s="78">
        <f t="shared" si="7"/>
        <v>37</v>
      </c>
      <c r="AO29" s="6"/>
      <c r="AQ29" s="7"/>
      <c r="AR29" s="5"/>
      <c r="AS29" s="5"/>
      <c r="AT29" s="8"/>
    </row>
    <row r="30" spans="1:46" ht="20.100000000000001" customHeight="1">
      <c r="A30" s="23">
        <v>21</v>
      </c>
      <c r="B30" s="33" t="s">
        <v>79</v>
      </c>
      <c r="C30" s="34" t="s">
        <v>77</v>
      </c>
      <c r="D30" s="34" t="s">
        <v>78</v>
      </c>
      <c r="E30" s="82">
        <v>16</v>
      </c>
      <c r="F30" s="77">
        <v>14</v>
      </c>
      <c r="G30" s="81"/>
      <c r="H30" s="78">
        <f t="shared" si="0"/>
        <v>30</v>
      </c>
      <c r="I30" s="79">
        <v>16</v>
      </c>
      <c r="J30" s="79">
        <v>13</v>
      </c>
      <c r="K30" s="81"/>
      <c r="L30" s="78">
        <f t="shared" si="1"/>
        <v>29</v>
      </c>
      <c r="M30" s="80">
        <v>16</v>
      </c>
      <c r="N30" s="79">
        <v>15</v>
      </c>
      <c r="O30" s="81"/>
      <c r="P30" s="78">
        <f t="shared" si="2"/>
        <v>31</v>
      </c>
      <c r="Q30" s="79">
        <v>16</v>
      </c>
      <c r="R30" s="79">
        <v>17</v>
      </c>
      <c r="S30" s="81"/>
      <c r="T30" s="78">
        <f t="shared" si="3"/>
        <v>33</v>
      </c>
      <c r="U30" s="80">
        <v>16</v>
      </c>
      <c r="V30" s="79">
        <v>18</v>
      </c>
      <c r="W30" s="81"/>
      <c r="X30" s="78">
        <f t="shared" si="4"/>
        <v>34</v>
      </c>
      <c r="Y30" s="79">
        <v>16</v>
      </c>
      <c r="Z30" s="79">
        <v>15</v>
      </c>
      <c r="AA30" s="81"/>
      <c r="AB30" s="78">
        <f t="shared" si="5"/>
        <v>31</v>
      </c>
      <c r="AC30" s="80">
        <v>16</v>
      </c>
      <c r="AD30" s="79">
        <v>13</v>
      </c>
      <c r="AE30" s="81"/>
      <c r="AF30" s="78">
        <f t="shared" si="8"/>
        <v>29</v>
      </c>
      <c r="AG30" s="80">
        <v>16</v>
      </c>
      <c r="AH30" s="79">
        <v>18</v>
      </c>
      <c r="AI30" s="81"/>
      <c r="AJ30" s="78">
        <f t="shared" si="6"/>
        <v>34</v>
      </c>
      <c r="AK30" s="79">
        <v>16</v>
      </c>
      <c r="AL30" s="79">
        <v>19</v>
      </c>
      <c r="AM30" s="81"/>
      <c r="AN30" s="78">
        <f t="shared" si="7"/>
        <v>35</v>
      </c>
      <c r="AO30" s="6"/>
      <c r="AQ30" s="7"/>
      <c r="AR30" s="5"/>
      <c r="AS30" s="5"/>
      <c r="AT30" s="8"/>
    </row>
    <row r="31" spans="1:46" ht="20.100000000000001" customHeight="1">
      <c r="A31" s="23"/>
      <c r="B31" s="24"/>
      <c r="C31" s="25"/>
      <c r="D31" s="25"/>
      <c r="E31" s="82"/>
      <c r="F31" s="77"/>
      <c r="G31" s="81"/>
      <c r="H31" s="78">
        <f t="shared" si="0"/>
        <v>0</v>
      </c>
      <c r="I31" s="79"/>
      <c r="J31" s="79"/>
      <c r="K31" s="81"/>
      <c r="L31" s="78">
        <f t="shared" si="1"/>
        <v>0</v>
      </c>
      <c r="M31" s="80"/>
      <c r="N31" s="79"/>
      <c r="O31" s="81"/>
      <c r="P31" s="78">
        <f t="shared" si="2"/>
        <v>0</v>
      </c>
      <c r="Q31" s="79"/>
      <c r="R31" s="79"/>
      <c r="S31" s="81"/>
      <c r="T31" s="78">
        <f t="shared" si="3"/>
        <v>0</v>
      </c>
      <c r="U31" s="80"/>
      <c r="V31" s="79"/>
      <c r="W31" s="81"/>
      <c r="X31" s="78">
        <f t="shared" si="4"/>
        <v>0</v>
      </c>
      <c r="Y31" s="79"/>
      <c r="Z31" s="79"/>
      <c r="AA31" s="81"/>
      <c r="AB31" s="78">
        <f t="shared" si="5"/>
        <v>0</v>
      </c>
      <c r="AC31" s="80"/>
      <c r="AD31" s="79"/>
      <c r="AE31" s="81"/>
      <c r="AF31" s="78">
        <f t="shared" si="8"/>
        <v>0</v>
      </c>
      <c r="AG31" s="80"/>
      <c r="AH31" s="79"/>
      <c r="AI31" s="81"/>
      <c r="AJ31" s="78">
        <f t="shared" si="6"/>
        <v>0</v>
      </c>
      <c r="AK31" s="79"/>
      <c r="AL31" s="79"/>
      <c r="AM31" s="81"/>
      <c r="AN31" s="78">
        <f t="shared" si="7"/>
        <v>0</v>
      </c>
      <c r="AO31" s="6"/>
      <c r="AQ31" s="7"/>
      <c r="AR31" s="5"/>
      <c r="AS31" s="5"/>
      <c r="AT31" s="8"/>
    </row>
    <row r="32" spans="1:46" ht="20.100000000000001" customHeight="1">
      <c r="A32" s="23"/>
      <c r="B32" s="24"/>
      <c r="C32" s="25"/>
      <c r="D32" s="25"/>
      <c r="E32" s="82"/>
      <c r="F32" s="77"/>
      <c r="G32" s="81"/>
      <c r="H32" s="78">
        <f t="shared" si="0"/>
        <v>0</v>
      </c>
      <c r="I32" s="79"/>
      <c r="J32" s="79"/>
      <c r="K32" s="81"/>
      <c r="L32" s="78">
        <f t="shared" si="1"/>
        <v>0</v>
      </c>
      <c r="M32" s="80"/>
      <c r="N32" s="79"/>
      <c r="O32" s="81"/>
      <c r="P32" s="78">
        <f t="shared" si="2"/>
        <v>0</v>
      </c>
      <c r="Q32" s="79"/>
      <c r="R32" s="79"/>
      <c r="S32" s="81"/>
      <c r="T32" s="78">
        <f t="shared" si="3"/>
        <v>0</v>
      </c>
      <c r="U32" s="80"/>
      <c r="V32" s="79"/>
      <c r="W32" s="81"/>
      <c r="X32" s="78">
        <f t="shared" si="4"/>
        <v>0</v>
      </c>
      <c r="Y32" s="79"/>
      <c r="Z32" s="79"/>
      <c r="AA32" s="81"/>
      <c r="AB32" s="78">
        <f t="shared" si="5"/>
        <v>0</v>
      </c>
      <c r="AC32" s="80"/>
      <c r="AD32" s="79"/>
      <c r="AE32" s="81"/>
      <c r="AF32" s="78">
        <f t="shared" si="8"/>
        <v>0</v>
      </c>
      <c r="AG32" s="80"/>
      <c r="AH32" s="79"/>
      <c r="AI32" s="81"/>
      <c r="AJ32" s="78">
        <f t="shared" si="6"/>
        <v>0</v>
      </c>
      <c r="AK32" s="79"/>
      <c r="AL32" s="79"/>
      <c r="AM32" s="81"/>
      <c r="AN32" s="78">
        <f t="shared" si="7"/>
        <v>0</v>
      </c>
      <c r="AO32" s="6"/>
      <c r="AQ32" s="7"/>
      <c r="AR32" s="5"/>
      <c r="AS32" s="5"/>
      <c r="AT32" s="8"/>
    </row>
    <row r="33" spans="1:43" ht="15" customHeight="1">
      <c r="A33" s="12"/>
      <c r="B33" s="60" t="s">
        <v>75</v>
      </c>
      <c r="C33" s="60"/>
      <c r="D33" s="60"/>
      <c r="E33" s="26"/>
      <c r="F33" s="26"/>
      <c r="G33" s="60" t="s">
        <v>71</v>
      </c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26"/>
      <c r="U33" s="12"/>
      <c r="V33" s="61" t="s">
        <v>68</v>
      </c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27"/>
      <c r="AI33" s="28"/>
      <c r="AJ33" s="28"/>
      <c r="AK33" s="29"/>
      <c r="AL33" s="29"/>
      <c r="AM33" s="30"/>
      <c r="AN33" s="31" t="s">
        <v>19</v>
      </c>
      <c r="AO33" s="5"/>
      <c r="AP33" s="5"/>
      <c r="AQ33" s="5"/>
    </row>
    <row r="34" spans="1:43" ht="15" customHeight="1">
      <c r="A34" s="60" t="s">
        <v>8</v>
      </c>
      <c r="B34" s="60"/>
      <c r="C34" s="60"/>
      <c r="D34" s="60"/>
      <c r="E34" s="47"/>
      <c r="F34" s="47"/>
      <c r="G34" s="66" t="s">
        <v>9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12"/>
      <c r="V34" s="12"/>
      <c r="W34" s="60" t="s">
        <v>10</v>
      </c>
      <c r="X34" s="60"/>
      <c r="Y34" s="60"/>
      <c r="Z34" s="60"/>
      <c r="AA34" s="60"/>
      <c r="AB34" s="60"/>
      <c r="AC34" s="60"/>
      <c r="AD34" s="60"/>
      <c r="AE34" s="60"/>
      <c r="AF34" s="27"/>
      <c r="AG34" s="27"/>
      <c r="AH34" s="27"/>
      <c r="AI34" s="63">
        <f ca="1">NOW()</f>
        <v>46188.397739583335</v>
      </c>
      <c r="AJ34" s="63"/>
      <c r="AK34" s="63"/>
      <c r="AL34" s="63"/>
      <c r="AM34" s="63"/>
      <c r="AN34" s="63"/>
      <c r="AO34" s="5"/>
      <c r="AP34" s="5"/>
      <c r="AQ34" s="5"/>
    </row>
    <row r="35" spans="1:4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27"/>
      <c r="AJ35" s="27"/>
      <c r="AK35" s="27"/>
      <c r="AL35" s="27"/>
      <c r="AM35" s="27"/>
      <c r="AN35" s="31"/>
    </row>
    <row r="36" spans="1:4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</sheetData>
  <sheetProtection selectLockedCells="1" selectUnlockedCells="1"/>
  <mergeCells count="26">
    <mergeCell ref="AI34:AN34"/>
    <mergeCell ref="I8:L8"/>
    <mergeCell ref="E8:H8"/>
    <mergeCell ref="M8:P8"/>
    <mergeCell ref="Q8:T8"/>
    <mergeCell ref="U8:X8"/>
    <mergeCell ref="G34:T34"/>
    <mergeCell ref="A34:D34"/>
    <mergeCell ref="V33:AG33"/>
    <mergeCell ref="G33:S33"/>
    <mergeCell ref="W34:AE34"/>
    <mergeCell ref="B33:D33"/>
    <mergeCell ref="A1:D1"/>
    <mergeCell ref="D8:D9"/>
    <mergeCell ref="B8:B9"/>
    <mergeCell ref="C8:C9"/>
    <mergeCell ref="A2:D2"/>
    <mergeCell ref="A4:AN4"/>
    <mergeCell ref="A8:A9"/>
    <mergeCell ref="A3:D3"/>
    <mergeCell ref="E6:AA6"/>
    <mergeCell ref="AK8:AN8"/>
    <mergeCell ref="AC8:AF8"/>
    <mergeCell ref="Y8:AB8"/>
    <mergeCell ref="AG8:AJ8"/>
    <mergeCell ref="A6:D6"/>
  </mergeCells>
  <printOptions horizontalCentered="1" verticalCentered="1"/>
  <pageMargins left="0" right="0" top="0" bottom="0.19652777777777777" header="0.51180555555555551" footer="0.51180555555555551"/>
  <pageSetup paperSize="5" scale="7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35"/>
  <sheetViews>
    <sheetView view="pageBreakPreview" zoomScale="95" zoomScaleSheetLayoutView="95" workbookViewId="0">
      <selection sqref="A1:XFD1048576"/>
    </sheetView>
  </sheetViews>
  <sheetFormatPr baseColWidth="10" defaultColWidth="11.42578125" defaultRowHeight="12.75"/>
  <cols>
    <col min="1" max="1" width="3.28515625" style="1" customWidth="1"/>
    <col min="2" max="2" width="14.42578125" style="1" customWidth="1"/>
    <col min="3" max="4" width="18.7109375" style="1" customWidth="1"/>
    <col min="5" max="35" width="3.28515625" style="1" customWidth="1"/>
    <col min="36" max="36" width="4.42578125" style="1" customWidth="1"/>
    <col min="37" max="40" width="3.28515625" style="1" customWidth="1"/>
    <col min="41" max="41" width="5" style="1" customWidth="1"/>
    <col min="42" max="16384" width="11.42578125" style="1"/>
  </cols>
  <sheetData>
    <row r="1" spans="1:44">
      <c r="A1" s="55" t="s">
        <v>0</v>
      </c>
      <c r="B1" s="55"/>
      <c r="C1" s="55"/>
      <c r="D1" s="5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4">
      <c r="A2" s="55" t="s">
        <v>18</v>
      </c>
      <c r="B2" s="55"/>
      <c r="C2" s="55"/>
      <c r="D2" s="55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36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4">
      <c r="A3" s="55" t="s">
        <v>1</v>
      </c>
      <c r="B3" s="55"/>
      <c r="C3" s="55"/>
      <c r="D3" s="55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4">
      <c r="A4" s="54" t="str">
        <f>'SABANA 1 SUMATORIA'!A4:AN4</f>
        <v>RESUMEN DE LA ACTUACIÓN DEL ESTUDUANTE  DURANTE LOS TRES  MOMENTOS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</row>
    <row r="5" spans="1:44" s="3" customFormat="1" ht="18.75">
      <c r="A5" s="13" t="str">
        <f>'SABANA 1 SUMATORIA'!A5</f>
        <v>CURSO: 1º AÑO DE EDUCACIÓN MEDIA TECNICA MENCION TECNOLOGIA DE LOS ALIMENTOS    SECCION A</v>
      </c>
      <c r="B5" s="13"/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4"/>
    </row>
    <row r="6" spans="1:44" s="3" customFormat="1" ht="23.25" customHeight="1">
      <c r="A6" s="59" t="s">
        <v>2</v>
      </c>
      <c r="B6" s="59"/>
      <c r="C6" s="59"/>
      <c r="D6" s="59"/>
      <c r="E6" s="56" t="str">
        <f>'SABANA 1 SUMATORIA'!E6:AA6</f>
        <v xml:space="preserve">     MARIELSY CARMONA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14"/>
      <c r="AC6" s="13" t="str">
        <f>'SABANA 1 SUMATORIA'!AC6</f>
        <v>AÑO ESCOLAR: 2025-2026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4"/>
    </row>
    <row r="7" spans="1:44" ht="24.75" customHeight="1">
      <c r="A7" s="15"/>
      <c r="B7" s="15"/>
      <c r="C7" s="15"/>
      <c r="D7" s="48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</row>
    <row r="8" spans="1:44" ht="51.75" customHeight="1">
      <c r="A8" s="52" t="s">
        <v>3</v>
      </c>
      <c r="B8" s="52" t="s">
        <v>4</v>
      </c>
      <c r="C8" s="51" t="s">
        <v>12</v>
      </c>
      <c r="D8" s="75" t="s">
        <v>13</v>
      </c>
      <c r="E8" s="68" t="str">
        <f>'SABANA 1 SUMATORIA'!E8:H8</f>
        <v>LENGUA Y LITERATURA</v>
      </c>
      <c r="F8" s="67"/>
      <c r="G8" s="67"/>
      <c r="H8" s="67"/>
      <c r="I8" s="67" t="str">
        <f>'SABANA 1 SUMATORIA'!I8:L8</f>
        <v>MATEMATICA</v>
      </c>
      <c r="J8" s="67"/>
      <c r="K8" s="67"/>
      <c r="L8" s="67"/>
      <c r="M8" s="67" t="str">
        <f>'SABANA 1 SUMATORIA'!M8:P8</f>
        <v>IDIOMAS</v>
      </c>
      <c r="N8" s="67"/>
      <c r="O8" s="67"/>
      <c r="P8" s="67"/>
      <c r="Q8" s="67" t="str">
        <f>'SABANA 1 SUMATORIA'!Q8:T8</f>
        <v>EDUCACION FISICA</v>
      </c>
      <c r="R8" s="67"/>
      <c r="S8" s="67"/>
      <c r="T8" s="67"/>
      <c r="U8" s="67" t="str">
        <f>'SABANA 1 SUMATORIA'!U8:X8</f>
        <v>BIOLOGIA, AMBIENTE Y TECNOLOGIA</v>
      </c>
      <c r="V8" s="67"/>
      <c r="W8" s="67"/>
      <c r="X8" s="67"/>
      <c r="Y8" s="67" t="str">
        <f>'SABANA 1 SUMATORIA'!Y8:AB8</f>
        <v>GEOGRAFIA, HISTORIA Y SOBERANIA NACIONAL</v>
      </c>
      <c r="Z8" s="67"/>
      <c r="AA8" s="67"/>
      <c r="AB8" s="67"/>
      <c r="AC8" s="72" t="str">
        <f>'SABANA 1 SUMATORIA'!AC8:AF8</f>
        <v>PROYECTO DE ECONOMIA SOCIOPRODUCTIVA Y TECNOLOGIA</v>
      </c>
      <c r="AD8" s="73"/>
      <c r="AE8" s="73"/>
      <c r="AF8" s="74"/>
      <c r="AG8" s="67" t="str">
        <f>'SABANA 1 SUMATORIA'!AG8:AJ8</f>
        <v>PRODUCCION AGROINDUSTRIAL</v>
      </c>
      <c r="AH8" s="67"/>
      <c r="AI8" s="67"/>
      <c r="AJ8" s="67"/>
      <c r="AK8" s="67" t="str">
        <f>'SABANA 1 SUMATORIA'!AK8:AN8</f>
        <v>ORIENTACION Y VINCULACION SOCIOLABORAL</v>
      </c>
      <c r="AL8" s="67"/>
      <c r="AM8" s="67"/>
      <c r="AN8" s="76"/>
      <c r="AO8" s="49" t="s">
        <v>81</v>
      </c>
      <c r="AP8" s="5"/>
      <c r="AQ8" s="5"/>
    </row>
    <row r="9" spans="1:44" ht="24" customHeight="1">
      <c r="A9" s="52"/>
      <c r="B9" s="52"/>
      <c r="C9" s="71"/>
      <c r="D9" s="75"/>
      <c r="E9" s="20">
        <v>1</v>
      </c>
      <c r="F9" s="21">
        <v>2</v>
      </c>
      <c r="G9" s="21">
        <v>3</v>
      </c>
      <c r="H9" s="19" t="s">
        <v>11</v>
      </c>
      <c r="I9" s="20">
        <v>1</v>
      </c>
      <c r="J9" s="21">
        <v>2</v>
      </c>
      <c r="K9" s="21">
        <v>3</v>
      </c>
      <c r="L9" s="37" t="s">
        <v>11</v>
      </c>
      <c r="M9" s="22">
        <v>1</v>
      </c>
      <c r="N9" s="21">
        <v>2</v>
      </c>
      <c r="O9" s="21">
        <v>3</v>
      </c>
      <c r="P9" s="19" t="s">
        <v>11</v>
      </c>
      <c r="Q9" s="20">
        <v>1</v>
      </c>
      <c r="R9" s="21">
        <v>2</v>
      </c>
      <c r="S9" s="21">
        <v>3</v>
      </c>
      <c r="T9" s="37" t="s">
        <v>11</v>
      </c>
      <c r="U9" s="22">
        <v>1</v>
      </c>
      <c r="V9" s="21">
        <v>2</v>
      </c>
      <c r="W9" s="21">
        <v>3</v>
      </c>
      <c r="X9" s="19" t="s">
        <v>11</v>
      </c>
      <c r="Y9" s="20">
        <v>1</v>
      </c>
      <c r="Z9" s="21">
        <v>2</v>
      </c>
      <c r="AA9" s="21">
        <v>3</v>
      </c>
      <c r="AB9" s="37" t="s">
        <v>11</v>
      </c>
      <c r="AC9" s="22">
        <v>1</v>
      </c>
      <c r="AD9" s="21">
        <v>2</v>
      </c>
      <c r="AE9" s="21">
        <v>3</v>
      </c>
      <c r="AF9" s="19" t="s">
        <v>11</v>
      </c>
      <c r="AG9" s="20">
        <v>1</v>
      </c>
      <c r="AH9" s="21">
        <v>2</v>
      </c>
      <c r="AI9" s="21">
        <v>3</v>
      </c>
      <c r="AJ9" s="37" t="s">
        <v>11</v>
      </c>
      <c r="AK9" s="22">
        <v>1</v>
      </c>
      <c r="AL9" s="21">
        <v>2</v>
      </c>
      <c r="AM9" s="21">
        <v>3</v>
      </c>
      <c r="AN9" s="37" t="s">
        <v>11</v>
      </c>
      <c r="AO9" s="45" t="s">
        <v>80</v>
      </c>
      <c r="AP9" s="5"/>
      <c r="AQ9" s="5"/>
    </row>
    <row r="10" spans="1:44" ht="20.100000000000001" customHeight="1">
      <c r="A10" s="23">
        <v>1</v>
      </c>
      <c r="B10" s="84">
        <f>'SABANA 1 SUMATORIA'!B10</f>
        <v>35070486</v>
      </c>
      <c r="C10" s="85" t="str">
        <f>'SABANA 1 SUMATORIA'!C10</f>
        <v>SANDOVAL GOMEZ</v>
      </c>
      <c r="D10" s="86" t="str">
        <f>'SABANA 1 SUMATORIA'!D10</f>
        <v>DANNA SARAIT</v>
      </c>
      <c r="E10" s="87">
        <f>'SABANA 1 SUMATORIA'!E10</f>
        <v>19</v>
      </c>
      <c r="F10" s="87">
        <f>'SABANA 1 SUMATORIA'!F10</f>
        <v>18</v>
      </c>
      <c r="G10" s="87">
        <f>'SABANA 1 SUMATORIA'!G10</f>
        <v>0</v>
      </c>
      <c r="H10" s="43">
        <f>ROUND(AVERAGE(E10:G10), 5)</f>
        <v>12.33333</v>
      </c>
      <c r="I10" s="87">
        <f>'SABANA 1 SUMATORIA'!I10</f>
        <v>15</v>
      </c>
      <c r="J10" s="87">
        <f>'SABANA 1 SUMATORIA'!J10</f>
        <v>15</v>
      </c>
      <c r="K10" s="40">
        <f>'SABANA 1 SUMATORIA'!K10</f>
        <v>0</v>
      </c>
      <c r="L10" s="43">
        <f>ROUND(AVERAGE(I10:K10), 5)</f>
        <v>10</v>
      </c>
      <c r="M10" s="42">
        <f>'SABANA 1 SUMATORIA'!M10</f>
        <v>19</v>
      </c>
      <c r="N10" s="40">
        <f>'SABANA 1 SUMATORIA'!N10</f>
        <v>18</v>
      </c>
      <c r="O10" s="40">
        <f>'SABANA 1 SUMATORIA'!O10</f>
        <v>0</v>
      </c>
      <c r="P10" s="43">
        <f>ROUND(AVERAGE(M10:O10), 5)</f>
        <v>12.33333</v>
      </c>
      <c r="Q10" s="41">
        <f>'SABANA 1 SUMATORIA'!Q10</f>
        <v>20</v>
      </c>
      <c r="R10" s="40">
        <f>'SABANA 1 SUMATORIA'!R10</f>
        <v>20</v>
      </c>
      <c r="S10" s="40">
        <f>'SABANA 1 SUMATORIA'!S10</f>
        <v>0</v>
      </c>
      <c r="T10" s="43">
        <f>ROUND(AVERAGE(Q10:S10), 5)</f>
        <v>13.33333</v>
      </c>
      <c r="U10" s="42">
        <f>'SABANA 1 SUMATORIA'!U10</f>
        <v>19</v>
      </c>
      <c r="V10" s="40">
        <f>'SABANA 1 SUMATORIA'!V10</f>
        <v>19</v>
      </c>
      <c r="W10" s="40">
        <f>'SABANA 1 SUMATORIA'!W10</f>
        <v>0</v>
      </c>
      <c r="X10" s="43">
        <f>ROUND(AVERAGE(U10:W10), 5)</f>
        <v>12.66667</v>
      </c>
      <c r="Y10" s="41">
        <f>'SABANA 1 SUMATORIA'!Y10</f>
        <v>18</v>
      </c>
      <c r="Z10" s="40">
        <f>'SABANA 1 SUMATORIA'!Z10</f>
        <v>18</v>
      </c>
      <c r="AA10" s="40">
        <f>'SABANA 1 SUMATORIA'!AA10</f>
        <v>0</v>
      </c>
      <c r="AB10" s="43">
        <f>ROUND(AVERAGE(Y10:AA10), 5)</f>
        <v>12</v>
      </c>
      <c r="AC10" s="42">
        <f>'SABANA 1 SUMATORIA'!AC10</f>
        <v>18</v>
      </c>
      <c r="AD10" s="40">
        <f>'SABANA 1 SUMATORIA'!AD10</f>
        <v>19</v>
      </c>
      <c r="AE10" s="40">
        <f>'SABANA 1 SUMATORIA'!AE10</f>
        <v>0</v>
      </c>
      <c r="AF10" s="43">
        <f>ROUND(AVERAGE(AC10:AE10), 5)</f>
        <v>12.33333</v>
      </c>
      <c r="AG10" s="41">
        <f>'SABANA 1 SUMATORIA'!AG10</f>
        <v>19</v>
      </c>
      <c r="AH10" s="40">
        <f>'SABANA 1 SUMATORIA'!AH10</f>
        <v>19</v>
      </c>
      <c r="AI10" s="40">
        <f>'SABANA 1 SUMATORIA'!AI10</f>
        <v>0</v>
      </c>
      <c r="AJ10" s="43">
        <f>ROUND(AVERAGE(AG10:AI10), 5)</f>
        <v>12.66667</v>
      </c>
      <c r="AK10" s="42">
        <f>'SABANA 1 SUMATORIA'!AK10</f>
        <v>17</v>
      </c>
      <c r="AL10" s="40">
        <f>'SABANA 1 SUMATORIA'!AL10</f>
        <v>19</v>
      </c>
      <c r="AM10" s="40">
        <f>'SABANA 1 SUMATORIA'!AM10</f>
        <v>0</v>
      </c>
      <c r="AN10" s="44">
        <f>ROUND(AVERAGE(AK10:AM10), 5)</f>
        <v>12</v>
      </c>
      <c r="AO10" s="46">
        <f>AVERAGE(H10,L10,P10,T10,X10,AB10,AF10,AJ10,AN10)</f>
        <v>12.185184444444443</v>
      </c>
      <c r="AP10" s="5"/>
      <c r="AQ10" s="5"/>
      <c r="AR10" s="8"/>
    </row>
    <row r="11" spans="1:44" ht="20.100000000000001" customHeight="1">
      <c r="A11" s="23">
        <f t="shared" ref="A11:A32" si="0">A10+1</f>
        <v>2</v>
      </c>
      <c r="B11" s="84">
        <f>'SABANA 1 SUMATORIA'!B11</f>
        <v>35162363</v>
      </c>
      <c r="C11" s="85" t="str">
        <f>'SABANA 1 SUMATORIA'!C11</f>
        <v>HERNANDEZ BELIZARIO</v>
      </c>
      <c r="D11" s="85" t="str">
        <f>'SABANA 1 SUMATORIA'!D11</f>
        <v>NATHALY ROSIMAR</v>
      </c>
      <c r="E11" s="88">
        <f>'SABANA 1 SUMATORIA'!E11</f>
        <v>18</v>
      </c>
      <c r="F11" s="87">
        <f>'SABANA 1 SUMATORIA'!F11</f>
        <v>19</v>
      </c>
      <c r="G11" s="87">
        <f>'SABANA 1 SUMATORIA'!G11</f>
        <v>0</v>
      </c>
      <c r="H11" s="43">
        <f t="shared" ref="H11:H32" si="1">ROUND(AVERAGE(E11:G11), 5)</f>
        <v>12.33333</v>
      </c>
      <c r="I11" s="41">
        <f>'SABANA 1 SUMATORIA'!I11</f>
        <v>18</v>
      </c>
      <c r="J11" s="40">
        <f>'SABANA 1 SUMATORIA'!J11</f>
        <v>19</v>
      </c>
      <c r="K11" s="40">
        <f>'SABANA 1 SUMATORIA'!K11</f>
        <v>0</v>
      </c>
      <c r="L11" s="43">
        <f t="shared" ref="L11:L32" si="2">ROUND(AVERAGE(I11:K11), 5)</f>
        <v>12.33333</v>
      </c>
      <c r="M11" s="42">
        <f>'SABANA 1 SUMATORIA'!M11</f>
        <v>19</v>
      </c>
      <c r="N11" s="40">
        <f>'SABANA 1 SUMATORIA'!N11</f>
        <v>19</v>
      </c>
      <c r="O11" s="40">
        <f>'SABANA 1 SUMATORIA'!O11</f>
        <v>0</v>
      </c>
      <c r="P11" s="43">
        <f t="shared" ref="P11:P32" si="3">ROUND(AVERAGE(M11:O11), 5)</f>
        <v>12.66667</v>
      </c>
      <c r="Q11" s="41">
        <f>'SABANA 1 SUMATORIA'!Q11</f>
        <v>20</v>
      </c>
      <c r="R11" s="40">
        <f>'SABANA 1 SUMATORIA'!R11</f>
        <v>20</v>
      </c>
      <c r="S11" s="40">
        <f>'SABANA 1 SUMATORIA'!S11</f>
        <v>0</v>
      </c>
      <c r="T11" s="43">
        <f t="shared" ref="T11:T32" si="4">ROUND(AVERAGE(Q11:S11), 5)</f>
        <v>13.33333</v>
      </c>
      <c r="U11" s="42">
        <f>'SABANA 1 SUMATORIA'!U11</f>
        <v>19</v>
      </c>
      <c r="V11" s="40">
        <f>'SABANA 1 SUMATORIA'!V11</f>
        <v>19</v>
      </c>
      <c r="W11" s="40">
        <f>'SABANA 1 SUMATORIA'!W11</f>
        <v>0</v>
      </c>
      <c r="X11" s="43">
        <f t="shared" ref="X11:X32" si="5">ROUND(AVERAGE(U11:W11), 5)</f>
        <v>12.66667</v>
      </c>
      <c r="Y11" s="41">
        <f>'SABANA 1 SUMATORIA'!Y11</f>
        <v>19</v>
      </c>
      <c r="Z11" s="40">
        <f>'SABANA 1 SUMATORIA'!Z11</f>
        <v>19</v>
      </c>
      <c r="AA11" s="40">
        <f>'SABANA 1 SUMATORIA'!AA11</f>
        <v>0</v>
      </c>
      <c r="AB11" s="43">
        <f t="shared" ref="AB11:AB32" si="6">ROUND(AVERAGE(Y11:AA11), 5)</f>
        <v>12.66667</v>
      </c>
      <c r="AC11" s="42">
        <f>'SABANA 1 SUMATORIA'!AC11</f>
        <v>19</v>
      </c>
      <c r="AD11" s="40">
        <f>'SABANA 1 SUMATORIA'!AD11</f>
        <v>18</v>
      </c>
      <c r="AE11" s="40">
        <f>'SABANA 1 SUMATORIA'!AE11</f>
        <v>0</v>
      </c>
      <c r="AF11" s="43">
        <f t="shared" ref="AF11:AF32" si="7">ROUND(AVERAGE(AC11:AE11), 5)</f>
        <v>12.33333</v>
      </c>
      <c r="AG11" s="41">
        <f>'SABANA 1 SUMATORIA'!AG11</f>
        <v>18</v>
      </c>
      <c r="AH11" s="40">
        <f>'SABANA 1 SUMATORIA'!AH11</f>
        <v>19</v>
      </c>
      <c r="AI11" s="40">
        <f>'SABANA 1 SUMATORIA'!AI11</f>
        <v>0</v>
      </c>
      <c r="AJ11" s="43">
        <f t="shared" ref="AJ11:AJ32" si="8">ROUND(AVERAGE(AG11:AI11), 5)</f>
        <v>12.33333</v>
      </c>
      <c r="AK11" s="42">
        <f>'SABANA 1 SUMATORIA'!AK11</f>
        <v>17</v>
      </c>
      <c r="AL11" s="40">
        <f>'SABANA 1 SUMATORIA'!AL11</f>
        <v>19</v>
      </c>
      <c r="AM11" s="40">
        <f>'SABANA 1 SUMATORIA'!AM11</f>
        <v>0</v>
      </c>
      <c r="AN11" s="44">
        <f t="shared" ref="AN11:AN32" si="9">ROUND(AVERAGE(AK11:AM11), 5)</f>
        <v>12</v>
      </c>
      <c r="AO11" s="46">
        <f t="shared" ref="AO11:AO32" si="10">AVERAGE(H11,L11,P11,T11,X11,AB11,AF11,AJ11,AN11)</f>
        <v>12.518517777777779</v>
      </c>
      <c r="AP11" s="5"/>
      <c r="AQ11" s="5"/>
      <c r="AR11" s="8"/>
    </row>
    <row r="12" spans="1:44" ht="20.100000000000001" customHeight="1">
      <c r="A12" s="23">
        <f t="shared" si="0"/>
        <v>3</v>
      </c>
      <c r="B12" s="84">
        <f>'SABANA 1 SUMATORIA'!B12</f>
        <v>35162480</v>
      </c>
      <c r="C12" s="85" t="str">
        <f>'SABANA 1 SUMATORIA'!C12</f>
        <v>CORREA SANOJA</v>
      </c>
      <c r="D12" s="85" t="str">
        <f>'SABANA 1 SUMATORIA'!D12</f>
        <v>OSMARY ISABEL</v>
      </c>
      <c r="E12" s="88">
        <f>'SABANA 1 SUMATORIA'!E12</f>
        <v>18</v>
      </c>
      <c r="F12" s="87">
        <f>'SABANA 1 SUMATORIA'!F12</f>
        <v>19</v>
      </c>
      <c r="G12" s="87">
        <f>'SABANA 1 SUMATORIA'!G12</f>
        <v>0</v>
      </c>
      <c r="H12" s="43">
        <f t="shared" si="1"/>
        <v>12.33333</v>
      </c>
      <c r="I12" s="41">
        <f>'SABANA 1 SUMATORIA'!I12</f>
        <v>18</v>
      </c>
      <c r="J12" s="40">
        <f>'SABANA 1 SUMATORIA'!J12</f>
        <v>20</v>
      </c>
      <c r="K12" s="40">
        <f>'SABANA 1 SUMATORIA'!K12</f>
        <v>0</v>
      </c>
      <c r="L12" s="43">
        <f t="shared" si="2"/>
        <v>12.66667</v>
      </c>
      <c r="M12" s="42">
        <f>'SABANA 1 SUMATORIA'!M12</f>
        <v>18</v>
      </c>
      <c r="N12" s="40">
        <f>'SABANA 1 SUMATORIA'!N12</f>
        <v>19</v>
      </c>
      <c r="O12" s="40">
        <f>'SABANA 1 SUMATORIA'!O12</f>
        <v>0</v>
      </c>
      <c r="P12" s="43">
        <f t="shared" si="3"/>
        <v>12.33333</v>
      </c>
      <c r="Q12" s="41">
        <f>'SABANA 1 SUMATORIA'!Q12</f>
        <v>20</v>
      </c>
      <c r="R12" s="40">
        <f>'SABANA 1 SUMATORIA'!R12</f>
        <v>20</v>
      </c>
      <c r="S12" s="40">
        <f>'SABANA 1 SUMATORIA'!S12</f>
        <v>0</v>
      </c>
      <c r="T12" s="43">
        <f t="shared" si="4"/>
        <v>13.33333</v>
      </c>
      <c r="U12" s="42">
        <f>'SABANA 1 SUMATORIA'!U12</f>
        <v>20</v>
      </c>
      <c r="V12" s="40">
        <f>'SABANA 1 SUMATORIA'!V12</f>
        <v>20</v>
      </c>
      <c r="W12" s="40">
        <f>'SABANA 1 SUMATORIA'!W12</f>
        <v>0</v>
      </c>
      <c r="X12" s="43">
        <f t="shared" si="5"/>
        <v>13.33333</v>
      </c>
      <c r="Y12" s="41">
        <f>'SABANA 1 SUMATORIA'!Y12</f>
        <v>19</v>
      </c>
      <c r="Z12" s="40">
        <f>'SABANA 1 SUMATORIA'!Z12</f>
        <v>19</v>
      </c>
      <c r="AA12" s="40">
        <f>'SABANA 1 SUMATORIA'!AA12</f>
        <v>0</v>
      </c>
      <c r="AB12" s="43">
        <f t="shared" si="6"/>
        <v>12.66667</v>
      </c>
      <c r="AC12" s="42">
        <f>'SABANA 1 SUMATORIA'!AC12</f>
        <v>19</v>
      </c>
      <c r="AD12" s="40">
        <f>'SABANA 1 SUMATORIA'!AD12</f>
        <v>19</v>
      </c>
      <c r="AE12" s="40">
        <f>'SABANA 1 SUMATORIA'!AE12</f>
        <v>0</v>
      </c>
      <c r="AF12" s="43">
        <f t="shared" si="7"/>
        <v>12.66667</v>
      </c>
      <c r="AG12" s="41">
        <f>'SABANA 1 SUMATORIA'!AG12</f>
        <v>18</v>
      </c>
      <c r="AH12" s="40">
        <f>'SABANA 1 SUMATORIA'!AH12</f>
        <v>19</v>
      </c>
      <c r="AI12" s="40">
        <f>'SABANA 1 SUMATORIA'!AI12</f>
        <v>0</v>
      </c>
      <c r="AJ12" s="43">
        <f t="shared" si="8"/>
        <v>12.33333</v>
      </c>
      <c r="AK12" s="42">
        <f>'SABANA 1 SUMATORIA'!AK12</f>
        <v>18</v>
      </c>
      <c r="AL12" s="40">
        <f>'SABANA 1 SUMATORIA'!AL12</f>
        <v>20</v>
      </c>
      <c r="AM12" s="40">
        <f>'SABANA 1 SUMATORIA'!AM12</f>
        <v>0</v>
      </c>
      <c r="AN12" s="44">
        <f t="shared" si="9"/>
        <v>12.66667</v>
      </c>
      <c r="AO12" s="46">
        <f t="shared" si="10"/>
        <v>12.703703333333333</v>
      </c>
      <c r="AP12" s="5"/>
      <c r="AQ12" s="5"/>
      <c r="AR12" s="8"/>
    </row>
    <row r="13" spans="1:44" ht="20.100000000000001" customHeight="1">
      <c r="A13" s="23">
        <f t="shared" si="0"/>
        <v>4</v>
      </c>
      <c r="B13" s="84">
        <f>'SABANA 1 SUMATORIA'!B13</f>
        <v>35162748</v>
      </c>
      <c r="C13" s="85" t="str">
        <f>'SABANA 1 SUMATORIA'!C13</f>
        <v>MACHUCA MACHADO</v>
      </c>
      <c r="D13" s="85" t="str">
        <f>'SABANA 1 SUMATORIA'!D13</f>
        <v>LEONEXY YISEL</v>
      </c>
      <c r="E13" s="88">
        <f>'SABANA 1 SUMATORIA'!E13</f>
        <v>11</v>
      </c>
      <c r="F13" s="87">
        <f>'SABANA 1 SUMATORIA'!F13</f>
        <v>18</v>
      </c>
      <c r="G13" s="87">
        <f>'SABANA 1 SUMATORIA'!G13</f>
        <v>0</v>
      </c>
      <c r="H13" s="43">
        <f t="shared" si="1"/>
        <v>9.6666699999999999</v>
      </c>
      <c r="I13" s="41">
        <f>'SABANA 1 SUMATORIA'!I13</f>
        <v>11</v>
      </c>
      <c r="J13" s="40">
        <f>'SABANA 1 SUMATORIA'!J13</f>
        <v>16</v>
      </c>
      <c r="K13" s="40">
        <f>'SABANA 1 SUMATORIA'!K13</f>
        <v>0</v>
      </c>
      <c r="L13" s="43">
        <f t="shared" si="2"/>
        <v>9</v>
      </c>
      <c r="M13" s="42">
        <f>'SABANA 1 SUMATORIA'!M13</f>
        <v>17</v>
      </c>
      <c r="N13" s="40">
        <f>'SABANA 1 SUMATORIA'!N13</f>
        <v>18</v>
      </c>
      <c r="O13" s="40">
        <f>'SABANA 1 SUMATORIA'!O13</f>
        <v>0</v>
      </c>
      <c r="P13" s="43">
        <f t="shared" si="3"/>
        <v>11.66667</v>
      </c>
      <c r="Q13" s="41">
        <f>'SABANA 1 SUMATORIA'!Q13</f>
        <v>17</v>
      </c>
      <c r="R13" s="40">
        <f>'SABANA 1 SUMATORIA'!R13</f>
        <v>18</v>
      </c>
      <c r="S13" s="40">
        <f>'SABANA 1 SUMATORIA'!S13</f>
        <v>0</v>
      </c>
      <c r="T13" s="43">
        <f t="shared" si="4"/>
        <v>11.66667</v>
      </c>
      <c r="U13" s="42">
        <f>'SABANA 1 SUMATORIA'!U13</f>
        <v>17</v>
      </c>
      <c r="V13" s="40">
        <f>'SABANA 1 SUMATORIA'!V13</f>
        <v>16</v>
      </c>
      <c r="W13" s="40">
        <f>'SABANA 1 SUMATORIA'!W13</f>
        <v>0</v>
      </c>
      <c r="X13" s="43">
        <f t="shared" si="5"/>
        <v>11</v>
      </c>
      <c r="Y13" s="41">
        <f>'SABANA 1 SUMATORIA'!Y13</f>
        <v>18</v>
      </c>
      <c r="Z13" s="40">
        <f>'SABANA 1 SUMATORIA'!Z13</f>
        <v>17</v>
      </c>
      <c r="AA13" s="40">
        <f>'SABANA 1 SUMATORIA'!AA13</f>
        <v>0</v>
      </c>
      <c r="AB13" s="43">
        <f t="shared" si="6"/>
        <v>11.66667</v>
      </c>
      <c r="AC13" s="42">
        <f>'SABANA 1 SUMATORIA'!AC13</f>
        <v>16</v>
      </c>
      <c r="AD13" s="40">
        <f>'SABANA 1 SUMATORIA'!AD13</f>
        <v>17</v>
      </c>
      <c r="AE13" s="40">
        <f>'SABANA 1 SUMATORIA'!AE13</f>
        <v>0</v>
      </c>
      <c r="AF13" s="43">
        <f t="shared" si="7"/>
        <v>11</v>
      </c>
      <c r="AG13" s="41">
        <f>'SABANA 1 SUMATORIA'!AG13</f>
        <v>17</v>
      </c>
      <c r="AH13" s="40">
        <f>'SABANA 1 SUMATORIA'!AH13</f>
        <v>15</v>
      </c>
      <c r="AI13" s="40">
        <f>'SABANA 1 SUMATORIA'!AI13</f>
        <v>0</v>
      </c>
      <c r="AJ13" s="43">
        <f t="shared" si="8"/>
        <v>10.66667</v>
      </c>
      <c r="AK13" s="42">
        <f>'SABANA 1 SUMATORIA'!AK13</f>
        <v>16</v>
      </c>
      <c r="AL13" s="40">
        <f>'SABANA 1 SUMATORIA'!AL13</f>
        <v>18</v>
      </c>
      <c r="AM13" s="40">
        <f>'SABANA 1 SUMATORIA'!AM13</f>
        <v>0</v>
      </c>
      <c r="AN13" s="44">
        <f t="shared" si="9"/>
        <v>11.33333</v>
      </c>
      <c r="AO13" s="46">
        <f t="shared" si="10"/>
        <v>10.851853333333333</v>
      </c>
      <c r="AP13" s="5"/>
      <c r="AQ13" s="5"/>
      <c r="AR13" s="8"/>
    </row>
    <row r="14" spans="1:44" ht="20.100000000000001" customHeight="1">
      <c r="A14" s="23">
        <f t="shared" si="0"/>
        <v>5</v>
      </c>
      <c r="B14" s="84">
        <f>'SABANA 1 SUMATORIA'!B14</f>
        <v>35864429</v>
      </c>
      <c r="C14" s="85" t="str">
        <f>'SABANA 1 SUMATORIA'!C14</f>
        <v>ROJAS ROJAS</v>
      </c>
      <c r="D14" s="85" t="str">
        <f>'SABANA 1 SUMATORIA'!D14</f>
        <v>LUIS GABRIEL</v>
      </c>
      <c r="E14" s="88">
        <f>'SABANA 1 SUMATORIA'!E14</f>
        <v>15</v>
      </c>
      <c r="F14" s="87">
        <f>'SABANA 1 SUMATORIA'!F14</f>
        <v>18</v>
      </c>
      <c r="G14" s="87">
        <f>'SABANA 1 SUMATORIA'!G14</f>
        <v>0</v>
      </c>
      <c r="H14" s="43">
        <f t="shared" si="1"/>
        <v>11</v>
      </c>
      <c r="I14" s="41">
        <f>'SABANA 1 SUMATORIA'!I14</f>
        <v>14</v>
      </c>
      <c r="J14" s="40">
        <f>'SABANA 1 SUMATORIA'!J14</f>
        <v>17</v>
      </c>
      <c r="K14" s="40">
        <f>'SABANA 1 SUMATORIA'!K14</f>
        <v>0</v>
      </c>
      <c r="L14" s="43">
        <f t="shared" si="2"/>
        <v>10.33333</v>
      </c>
      <c r="M14" s="42">
        <f>'SABANA 1 SUMATORIA'!M14</f>
        <v>16</v>
      </c>
      <c r="N14" s="40">
        <f>'SABANA 1 SUMATORIA'!N14</f>
        <v>15</v>
      </c>
      <c r="O14" s="40">
        <f>'SABANA 1 SUMATORIA'!O14</f>
        <v>0</v>
      </c>
      <c r="P14" s="43">
        <f t="shared" si="3"/>
        <v>10.33333</v>
      </c>
      <c r="Q14" s="41">
        <f>'SABANA 1 SUMATORIA'!Q14</f>
        <v>20</v>
      </c>
      <c r="R14" s="40">
        <f>'SABANA 1 SUMATORIA'!R14</f>
        <v>20</v>
      </c>
      <c r="S14" s="40">
        <f>'SABANA 1 SUMATORIA'!S14</f>
        <v>0</v>
      </c>
      <c r="T14" s="43">
        <f t="shared" si="4"/>
        <v>13.33333</v>
      </c>
      <c r="U14" s="42">
        <f>'SABANA 1 SUMATORIA'!U14</f>
        <v>19</v>
      </c>
      <c r="V14" s="40">
        <f>'SABANA 1 SUMATORIA'!V14</f>
        <v>17</v>
      </c>
      <c r="W14" s="40">
        <f>'SABANA 1 SUMATORIA'!W14</f>
        <v>0</v>
      </c>
      <c r="X14" s="43">
        <f t="shared" si="5"/>
        <v>12</v>
      </c>
      <c r="Y14" s="41">
        <f>'SABANA 1 SUMATORIA'!Y14</f>
        <v>18</v>
      </c>
      <c r="Z14" s="40">
        <f>'SABANA 1 SUMATORIA'!Z14</f>
        <v>16</v>
      </c>
      <c r="AA14" s="40">
        <f>'SABANA 1 SUMATORIA'!AA14</f>
        <v>0</v>
      </c>
      <c r="AB14" s="43">
        <f t="shared" si="6"/>
        <v>11.33333</v>
      </c>
      <c r="AC14" s="42">
        <f>'SABANA 1 SUMATORIA'!AC14</f>
        <v>15</v>
      </c>
      <c r="AD14" s="40">
        <f>'SABANA 1 SUMATORIA'!AD14</f>
        <v>15</v>
      </c>
      <c r="AE14" s="40">
        <f>'SABANA 1 SUMATORIA'!AE14</f>
        <v>0</v>
      </c>
      <c r="AF14" s="43">
        <f t="shared" si="7"/>
        <v>10</v>
      </c>
      <c r="AG14" s="41">
        <f>'SABANA 1 SUMATORIA'!AG14</f>
        <v>16</v>
      </c>
      <c r="AH14" s="40">
        <f>'SABANA 1 SUMATORIA'!AH14</f>
        <v>15</v>
      </c>
      <c r="AI14" s="40">
        <f>'SABANA 1 SUMATORIA'!AI14</f>
        <v>0</v>
      </c>
      <c r="AJ14" s="43">
        <f t="shared" si="8"/>
        <v>10.33333</v>
      </c>
      <c r="AK14" s="42">
        <f>'SABANA 1 SUMATORIA'!AK14</f>
        <v>17</v>
      </c>
      <c r="AL14" s="40">
        <f>'SABANA 1 SUMATORIA'!AL14</f>
        <v>18</v>
      </c>
      <c r="AM14" s="40">
        <f>'SABANA 1 SUMATORIA'!AM14</f>
        <v>0</v>
      </c>
      <c r="AN14" s="44">
        <f t="shared" si="9"/>
        <v>11.66667</v>
      </c>
      <c r="AO14" s="46">
        <f t="shared" si="10"/>
        <v>11.148146666666667</v>
      </c>
      <c r="AP14" s="5"/>
      <c r="AQ14" s="5"/>
      <c r="AR14" s="8"/>
    </row>
    <row r="15" spans="1:44" ht="20.100000000000001" customHeight="1">
      <c r="A15" s="23">
        <f t="shared" si="0"/>
        <v>6</v>
      </c>
      <c r="B15" s="84">
        <f>'SABANA 1 SUMATORIA'!B15</f>
        <v>36076732</v>
      </c>
      <c r="C15" s="85" t="str">
        <f>'SABANA 1 SUMATORIA'!C15</f>
        <v>PARUCHO CAMPOS</v>
      </c>
      <c r="D15" s="85" t="str">
        <f>'SABANA 1 SUMATORIA'!D15</f>
        <v>ADRIAN ALBERTO</v>
      </c>
      <c r="E15" s="88">
        <f>'SABANA 1 SUMATORIA'!E15</f>
        <v>19</v>
      </c>
      <c r="F15" s="87">
        <f>'SABANA 1 SUMATORIA'!F15</f>
        <v>20</v>
      </c>
      <c r="G15" s="87">
        <f>'SABANA 1 SUMATORIA'!G15</f>
        <v>0</v>
      </c>
      <c r="H15" s="43">
        <f t="shared" si="1"/>
        <v>13</v>
      </c>
      <c r="I15" s="41">
        <f>'SABANA 1 SUMATORIA'!I15</f>
        <v>18</v>
      </c>
      <c r="J15" s="40">
        <f>'SABANA 1 SUMATORIA'!J15</f>
        <v>20</v>
      </c>
      <c r="K15" s="40">
        <f>'SABANA 1 SUMATORIA'!K15</f>
        <v>0</v>
      </c>
      <c r="L15" s="43">
        <f t="shared" si="2"/>
        <v>12.66667</v>
      </c>
      <c r="M15" s="42">
        <f>'SABANA 1 SUMATORIA'!M15</f>
        <v>20</v>
      </c>
      <c r="N15" s="40">
        <f>'SABANA 1 SUMATORIA'!N15</f>
        <v>20</v>
      </c>
      <c r="O15" s="40">
        <f>'SABANA 1 SUMATORIA'!O15</f>
        <v>0</v>
      </c>
      <c r="P15" s="43">
        <f t="shared" si="3"/>
        <v>13.33333</v>
      </c>
      <c r="Q15" s="41">
        <f>'SABANA 1 SUMATORIA'!Q15</f>
        <v>20</v>
      </c>
      <c r="R15" s="40">
        <f>'SABANA 1 SUMATORIA'!R15</f>
        <v>20</v>
      </c>
      <c r="S15" s="40">
        <f>'SABANA 1 SUMATORIA'!S15</f>
        <v>0</v>
      </c>
      <c r="T15" s="43">
        <f t="shared" si="4"/>
        <v>13.33333</v>
      </c>
      <c r="U15" s="42">
        <f>'SABANA 1 SUMATORIA'!U15</f>
        <v>20</v>
      </c>
      <c r="V15" s="40">
        <f>'SABANA 1 SUMATORIA'!V15</f>
        <v>20</v>
      </c>
      <c r="W15" s="40">
        <f>'SABANA 1 SUMATORIA'!W15</f>
        <v>0</v>
      </c>
      <c r="X15" s="43">
        <f t="shared" si="5"/>
        <v>13.33333</v>
      </c>
      <c r="Y15" s="41">
        <f>'SABANA 1 SUMATORIA'!Y15</f>
        <v>19</v>
      </c>
      <c r="Z15" s="40">
        <f>'SABANA 1 SUMATORIA'!Z15</f>
        <v>20</v>
      </c>
      <c r="AA15" s="40">
        <f>'SABANA 1 SUMATORIA'!AA15</f>
        <v>0</v>
      </c>
      <c r="AB15" s="43">
        <f t="shared" si="6"/>
        <v>13</v>
      </c>
      <c r="AC15" s="42">
        <f>'SABANA 1 SUMATORIA'!AC15</f>
        <v>19</v>
      </c>
      <c r="AD15" s="40">
        <f>'SABANA 1 SUMATORIA'!AD15</f>
        <v>19</v>
      </c>
      <c r="AE15" s="40">
        <f>'SABANA 1 SUMATORIA'!AE15</f>
        <v>0</v>
      </c>
      <c r="AF15" s="43">
        <f t="shared" si="7"/>
        <v>12.66667</v>
      </c>
      <c r="AG15" s="41">
        <f>'SABANA 1 SUMATORIA'!AG15</f>
        <v>20</v>
      </c>
      <c r="AH15" s="40">
        <f>'SABANA 1 SUMATORIA'!AH15</f>
        <v>20</v>
      </c>
      <c r="AI15" s="40">
        <f>'SABANA 1 SUMATORIA'!AI15</f>
        <v>0</v>
      </c>
      <c r="AJ15" s="43">
        <f t="shared" si="8"/>
        <v>13.33333</v>
      </c>
      <c r="AK15" s="42">
        <f>'SABANA 1 SUMATORIA'!AK15</f>
        <v>20</v>
      </c>
      <c r="AL15" s="40">
        <f>'SABANA 1 SUMATORIA'!AL15</f>
        <v>20</v>
      </c>
      <c r="AM15" s="40">
        <f>'SABANA 1 SUMATORIA'!AM15</f>
        <v>0</v>
      </c>
      <c r="AN15" s="44">
        <f t="shared" si="9"/>
        <v>13.33333</v>
      </c>
      <c r="AO15" s="46">
        <f t="shared" si="10"/>
        <v>13.111110000000002</v>
      </c>
      <c r="AP15" s="5"/>
      <c r="AQ15" s="5"/>
      <c r="AR15" s="8"/>
    </row>
    <row r="16" spans="1:44" ht="20.100000000000001" customHeight="1">
      <c r="A16" s="23">
        <f t="shared" si="0"/>
        <v>7</v>
      </c>
      <c r="B16" s="84">
        <f>'SABANA 1 SUMATORIA'!B16</f>
        <v>36361850</v>
      </c>
      <c r="C16" s="85" t="str">
        <f>'SABANA 1 SUMATORIA'!C16</f>
        <v>CONTRERAS SILVA</v>
      </c>
      <c r="D16" s="85" t="str">
        <f>'SABANA 1 SUMATORIA'!D16</f>
        <v>NEGLISMAR ANDREINA</v>
      </c>
      <c r="E16" s="88">
        <f>'SABANA 1 SUMATORIA'!E16</f>
        <v>18</v>
      </c>
      <c r="F16" s="87">
        <f>'SABANA 1 SUMATORIA'!F16</f>
        <v>18</v>
      </c>
      <c r="G16" s="87">
        <f>'SABANA 1 SUMATORIA'!G16</f>
        <v>0</v>
      </c>
      <c r="H16" s="43">
        <f t="shared" si="1"/>
        <v>12</v>
      </c>
      <c r="I16" s="41">
        <f>'SABANA 1 SUMATORIA'!I16</f>
        <v>14</v>
      </c>
      <c r="J16" s="40">
        <f>'SABANA 1 SUMATORIA'!J16</f>
        <v>15</v>
      </c>
      <c r="K16" s="40">
        <f>'SABANA 1 SUMATORIA'!K16</f>
        <v>0</v>
      </c>
      <c r="L16" s="43">
        <f t="shared" si="2"/>
        <v>9.6666699999999999</v>
      </c>
      <c r="M16" s="42">
        <f>'SABANA 1 SUMATORIA'!M16</f>
        <v>17</v>
      </c>
      <c r="N16" s="40">
        <f>'SABANA 1 SUMATORIA'!N16</f>
        <v>17</v>
      </c>
      <c r="O16" s="40">
        <f>'SABANA 1 SUMATORIA'!O16</f>
        <v>0</v>
      </c>
      <c r="P16" s="43">
        <f t="shared" si="3"/>
        <v>11.33333</v>
      </c>
      <c r="Q16" s="41">
        <f>'SABANA 1 SUMATORIA'!Q16</f>
        <v>18</v>
      </c>
      <c r="R16" s="40">
        <f>'SABANA 1 SUMATORIA'!R16</f>
        <v>20</v>
      </c>
      <c r="S16" s="40">
        <f>'SABANA 1 SUMATORIA'!S16</f>
        <v>0</v>
      </c>
      <c r="T16" s="43">
        <f t="shared" si="4"/>
        <v>12.66667</v>
      </c>
      <c r="U16" s="42">
        <f>'SABANA 1 SUMATORIA'!U16</f>
        <v>19</v>
      </c>
      <c r="V16" s="40">
        <f>'SABANA 1 SUMATORIA'!V16</f>
        <v>18</v>
      </c>
      <c r="W16" s="40">
        <f>'SABANA 1 SUMATORIA'!W16</f>
        <v>0</v>
      </c>
      <c r="X16" s="43">
        <f t="shared" si="5"/>
        <v>12.33333</v>
      </c>
      <c r="Y16" s="41">
        <f>'SABANA 1 SUMATORIA'!Y16</f>
        <v>19</v>
      </c>
      <c r="Z16" s="40">
        <f>'SABANA 1 SUMATORIA'!Z16</f>
        <v>17</v>
      </c>
      <c r="AA16" s="40">
        <f>'SABANA 1 SUMATORIA'!AA16</f>
        <v>0</v>
      </c>
      <c r="AB16" s="43">
        <f t="shared" si="6"/>
        <v>12</v>
      </c>
      <c r="AC16" s="42">
        <f>'SABANA 1 SUMATORIA'!AC16</f>
        <v>15</v>
      </c>
      <c r="AD16" s="40">
        <f>'SABANA 1 SUMATORIA'!AD16</f>
        <v>15</v>
      </c>
      <c r="AE16" s="40">
        <f>'SABANA 1 SUMATORIA'!AE16</f>
        <v>0</v>
      </c>
      <c r="AF16" s="43">
        <f t="shared" si="7"/>
        <v>10</v>
      </c>
      <c r="AG16" s="41">
        <f>'SABANA 1 SUMATORIA'!AG16</f>
        <v>17</v>
      </c>
      <c r="AH16" s="40">
        <f>'SABANA 1 SUMATORIA'!AH16</f>
        <v>17</v>
      </c>
      <c r="AI16" s="40">
        <f>'SABANA 1 SUMATORIA'!AI16</f>
        <v>0</v>
      </c>
      <c r="AJ16" s="43">
        <f t="shared" si="8"/>
        <v>11.33333</v>
      </c>
      <c r="AK16" s="42">
        <f>'SABANA 1 SUMATORIA'!AK16</f>
        <v>15</v>
      </c>
      <c r="AL16" s="40">
        <f>'SABANA 1 SUMATORIA'!AL16</f>
        <v>19</v>
      </c>
      <c r="AM16" s="40">
        <f>'SABANA 1 SUMATORIA'!AM16</f>
        <v>0</v>
      </c>
      <c r="AN16" s="44">
        <f t="shared" si="9"/>
        <v>11.33333</v>
      </c>
      <c r="AO16" s="46">
        <f t="shared" si="10"/>
        <v>11.407406666666667</v>
      </c>
      <c r="AP16" s="5"/>
      <c r="AQ16" s="5"/>
      <c r="AR16" s="8"/>
    </row>
    <row r="17" spans="1:44" ht="20.100000000000001" customHeight="1">
      <c r="A17" s="23">
        <f t="shared" si="0"/>
        <v>8</v>
      </c>
      <c r="B17" s="84">
        <f>'SABANA 1 SUMATORIA'!B17</f>
        <v>36441933</v>
      </c>
      <c r="C17" s="85" t="str">
        <f>'SABANA 1 SUMATORIA'!C17</f>
        <v>CASTRO GRANADO</v>
      </c>
      <c r="D17" s="85" t="str">
        <f>'SABANA 1 SUMATORIA'!D17</f>
        <v>AURORA ESTEFANIA</v>
      </c>
      <c r="E17" s="88">
        <f>'SABANA 1 SUMATORIA'!E17</f>
        <v>19</v>
      </c>
      <c r="F17" s="87">
        <f>'SABANA 1 SUMATORIA'!F17</f>
        <v>19</v>
      </c>
      <c r="G17" s="87">
        <f>'SABANA 1 SUMATORIA'!G17</f>
        <v>0</v>
      </c>
      <c r="H17" s="43">
        <f t="shared" si="1"/>
        <v>12.66667</v>
      </c>
      <c r="I17" s="41">
        <f>'SABANA 1 SUMATORIA'!I17</f>
        <v>15</v>
      </c>
      <c r="J17" s="40">
        <f>'SABANA 1 SUMATORIA'!J17</f>
        <v>18</v>
      </c>
      <c r="K17" s="40">
        <f>'SABANA 1 SUMATORIA'!K17</f>
        <v>0</v>
      </c>
      <c r="L17" s="43">
        <f t="shared" si="2"/>
        <v>11</v>
      </c>
      <c r="M17" s="42">
        <f>'SABANA 1 SUMATORIA'!M17</f>
        <v>19</v>
      </c>
      <c r="N17" s="40">
        <f>'SABANA 1 SUMATORIA'!N17</f>
        <v>19</v>
      </c>
      <c r="O17" s="40">
        <f>'SABANA 1 SUMATORIA'!O17</f>
        <v>0</v>
      </c>
      <c r="P17" s="43">
        <f t="shared" si="3"/>
        <v>12.66667</v>
      </c>
      <c r="Q17" s="41">
        <f>'SABANA 1 SUMATORIA'!Q17</f>
        <v>19</v>
      </c>
      <c r="R17" s="40">
        <f>'SABANA 1 SUMATORIA'!R17</f>
        <v>19</v>
      </c>
      <c r="S17" s="40">
        <f>'SABANA 1 SUMATORIA'!S17</f>
        <v>0</v>
      </c>
      <c r="T17" s="43">
        <f t="shared" si="4"/>
        <v>12.66667</v>
      </c>
      <c r="U17" s="42">
        <f>'SABANA 1 SUMATORIA'!U17</f>
        <v>19</v>
      </c>
      <c r="V17" s="40">
        <f>'SABANA 1 SUMATORIA'!V17</f>
        <v>19</v>
      </c>
      <c r="W17" s="40">
        <f>'SABANA 1 SUMATORIA'!W17</f>
        <v>0</v>
      </c>
      <c r="X17" s="43">
        <f t="shared" si="5"/>
        <v>12.66667</v>
      </c>
      <c r="Y17" s="41">
        <f>'SABANA 1 SUMATORIA'!Y17</f>
        <v>19</v>
      </c>
      <c r="Z17" s="40">
        <f>'SABANA 1 SUMATORIA'!Z17</f>
        <v>18</v>
      </c>
      <c r="AA17" s="40">
        <f>'SABANA 1 SUMATORIA'!AA17</f>
        <v>0</v>
      </c>
      <c r="AB17" s="43">
        <f t="shared" si="6"/>
        <v>12.33333</v>
      </c>
      <c r="AC17" s="42">
        <f>'SABANA 1 SUMATORIA'!AC17</f>
        <v>19</v>
      </c>
      <c r="AD17" s="40">
        <f>'SABANA 1 SUMATORIA'!AD17</f>
        <v>19</v>
      </c>
      <c r="AE17" s="40">
        <f>'SABANA 1 SUMATORIA'!AE17</f>
        <v>0</v>
      </c>
      <c r="AF17" s="43">
        <f t="shared" si="7"/>
        <v>12.66667</v>
      </c>
      <c r="AG17" s="41">
        <f>'SABANA 1 SUMATORIA'!AG17</f>
        <v>18</v>
      </c>
      <c r="AH17" s="40">
        <f>'SABANA 1 SUMATORIA'!AH17</f>
        <v>19</v>
      </c>
      <c r="AI17" s="40">
        <f>'SABANA 1 SUMATORIA'!AI17</f>
        <v>0</v>
      </c>
      <c r="AJ17" s="43">
        <f t="shared" si="8"/>
        <v>12.33333</v>
      </c>
      <c r="AK17" s="42">
        <f>'SABANA 1 SUMATORIA'!AK17</f>
        <v>17</v>
      </c>
      <c r="AL17" s="40">
        <f>'SABANA 1 SUMATORIA'!AL17</f>
        <v>19</v>
      </c>
      <c r="AM17" s="40">
        <f>'SABANA 1 SUMATORIA'!AM17</f>
        <v>0</v>
      </c>
      <c r="AN17" s="44">
        <f t="shared" si="9"/>
        <v>12</v>
      </c>
      <c r="AO17" s="46">
        <f t="shared" si="10"/>
        <v>12.333334444444445</v>
      </c>
      <c r="AP17" s="5"/>
      <c r="AQ17" s="5"/>
      <c r="AR17" s="8"/>
    </row>
    <row r="18" spans="1:44" ht="20.100000000000001" customHeight="1">
      <c r="A18" s="23">
        <f t="shared" si="0"/>
        <v>9</v>
      </c>
      <c r="B18" s="84">
        <f>'SABANA 1 SUMATORIA'!B18</f>
        <v>36539352</v>
      </c>
      <c r="C18" s="85" t="str">
        <f>'SABANA 1 SUMATORIA'!C18</f>
        <v>TREJO YLARRAZA</v>
      </c>
      <c r="D18" s="85" t="str">
        <f>'SABANA 1 SUMATORIA'!D18</f>
        <v>MILAGROS CARIDAD</v>
      </c>
      <c r="E18" s="88">
        <f>'SABANA 1 SUMATORIA'!E18</f>
        <v>18</v>
      </c>
      <c r="F18" s="87">
        <f>'SABANA 1 SUMATORIA'!F18</f>
        <v>20</v>
      </c>
      <c r="G18" s="87">
        <f>'SABANA 1 SUMATORIA'!G18</f>
        <v>0</v>
      </c>
      <c r="H18" s="43">
        <f t="shared" si="1"/>
        <v>12.66667</v>
      </c>
      <c r="I18" s="41">
        <f>'SABANA 1 SUMATORIA'!I18</f>
        <v>16</v>
      </c>
      <c r="J18" s="40">
        <f>'SABANA 1 SUMATORIA'!J18</f>
        <v>19</v>
      </c>
      <c r="K18" s="40">
        <f>'SABANA 1 SUMATORIA'!K18</f>
        <v>0</v>
      </c>
      <c r="L18" s="43">
        <f t="shared" si="2"/>
        <v>11.66667</v>
      </c>
      <c r="M18" s="42">
        <f>'SABANA 1 SUMATORIA'!M18</f>
        <v>19</v>
      </c>
      <c r="N18" s="40">
        <f>'SABANA 1 SUMATORIA'!N18</f>
        <v>20</v>
      </c>
      <c r="O18" s="40">
        <f>'SABANA 1 SUMATORIA'!O18</f>
        <v>0</v>
      </c>
      <c r="P18" s="43">
        <f t="shared" si="3"/>
        <v>13</v>
      </c>
      <c r="Q18" s="41">
        <f>'SABANA 1 SUMATORIA'!Q18</f>
        <v>20</v>
      </c>
      <c r="R18" s="40">
        <f>'SABANA 1 SUMATORIA'!R18</f>
        <v>20</v>
      </c>
      <c r="S18" s="40">
        <f>'SABANA 1 SUMATORIA'!S18</f>
        <v>0</v>
      </c>
      <c r="T18" s="43">
        <f t="shared" si="4"/>
        <v>13.33333</v>
      </c>
      <c r="U18" s="42">
        <f>'SABANA 1 SUMATORIA'!U18</f>
        <v>19</v>
      </c>
      <c r="V18" s="40">
        <f>'SABANA 1 SUMATORIA'!V18</f>
        <v>18</v>
      </c>
      <c r="W18" s="40">
        <f>'SABANA 1 SUMATORIA'!W18</f>
        <v>0</v>
      </c>
      <c r="X18" s="43">
        <f t="shared" si="5"/>
        <v>12.33333</v>
      </c>
      <c r="Y18" s="41">
        <f>'SABANA 1 SUMATORIA'!Y18</f>
        <v>19</v>
      </c>
      <c r="Z18" s="40">
        <f>'SABANA 1 SUMATORIA'!Z18</f>
        <v>19</v>
      </c>
      <c r="AA18" s="40">
        <f>'SABANA 1 SUMATORIA'!AA18</f>
        <v>0</v>
      </c>
      <c r="AB18" s="43">
        <f t="shared" si="6"/>
        <v>12.66667</v>
      </c>
      <c r="AC18" s="42">
        <f>'SABANA 1 SUMATORIA'!AC18</f>
        <v>18</v>
      </c>
      <c r="AD18" s="40">
        <f>'SABANA 1 SUMATORIA'!AD18</f>
        <v>18</v>
      </c>
      <c r="AE18" s="40">
        <f>'SABANA 1 SUMATORIA'!AE18</f>
        <v>0</v>
      </c>
      <c r="AF18" s="43">
        <f t="shared" si="7"/>
        <v>12</v>
      </c>
      <c r="AG18" s="41">
        <f>'SABANA 1 SUMATORIA'!AG18</f>
        <v>18</v>
      </c>
      <c r="AH18" s="40">
        <f>'SABANA 1 SUMATORIA'!AH18</f>
        <v>19</v>
      </c>
      <c r="AI18" s="40">
        <f>'SABANA 1 SUMATORIA'!AI18</f>
        <v>0</v>
      </c>
      <c r="AJ18" s="43">
        <f t="shared" si="8"/>
        <v>12.33333</v>
      </c>
      <c r="AK18" s="42">
        <f>'SABANA 1 SUMATORIA'!AK18</f>
        <v>18</v>
      </c>
      <c r="AL18" s="40">
        <f>'SABANA 1 SUMATORIA'!AL18</f>
        <v>19</v>
      </c>
      <c r="AM18" s="40">
        <f>'SABANA 1 SUMATORIA'!AM18</f>
        <v>0</v>
      </c>
      <c r="AN18" s="44">
        <f t="shared" si="9"/>
        <v>12.33333</v>
      </c>
      <c r="AO18" s="46">
        <f t="shared" si="10"/>
        <v>12.481481111111112</v>
      </c>
      <c r="AP18" s="5"/>
      <c r="AQ18" s="5"/>
      <c r="AR18" s="8"/>
    </row>
    <row r="19" spans="1:44" ht="20.100000000000001" customHeight="1">
      <c r="A19" s="23">
        <f t="shared" si="0"/>
        <v>10</v>
      </c>
      <c r="B19" s="84">
        <f>'SABANA 1 SUMATORIA'!B19</f>
        <v>36562841</v>
      </c>
      <c r="C19" s="85" t="str">
        <f>'SABANA 1 SUMATORIA'!C19</f>
        <v>SILVA CHIREL</v>
      </c>
      <c r="D19" s="85" t="str">
        <f>'SABANA 1 SUMATORIA'!D19</f>
        <v>SIRMARY MILAGRO</v>
      </c>
      <c r="E19" s="88">
        <f>'SABANA 1 SUMATORIA'!E19</f>
        <v>18</v>
      </c>
      <c r="F19" s="87">
        <f>'SABANA 1 SUMATORIA'!F19</f>
        <v>18</v>
      </c>
      <c r="G19" s="87">
        <f>'SABANA 1 SUMATORIA'!G19</f>
        <v>0</v>
      </c>
      <c r="H19" s="43">
        <f t="shared" si="1"/>
        <v>12</v>
      </c>
      <c r="I19" s="41">
        <f>'SABANA 1 SUMATORIA'!I19</f>
        <v>14</v>
      </c>
      <c r="J19" s="40">
        <f>'SABANA 1 SUMATORIA'!J19</f>
        <v>18</v>
      </c>
      <c r="K19" s="40">
        <f>'SABANA 1 SUMATORIA'!K19</f>
        <v>0</v>
      </c>
      <c r="L19" s="43">
        <f t="shared" si="2"/>
        <v>10.66667</v>
      </c>
      <c r="M19" s="42">
        <f>'SABANA 1 SUMATORIA'!M19</f>
        <v>18</v>
      </c>
      <c r="N19" s="40">
        <f>'SABANA 1 SUMATORIA'!N19</f>
        <v>19</v>
      </c>
      <c r="O19" s="40">
        <f>'SABANA 1 SUMATORIA'!O19</f>
        <v>0</v>
      </c>
      <c r="P19" s="43">
        <f t="shared" si="3"/>
        <v>12.33333</v>
      </c>
      <c r="Q19" s="41">
        <f>'SABANA 1 SUMATORIA'!Q19</f>
        <v>20</v>
      </c>
      <c r="R19" s="40">
        <f>'SABANA 1 SUMATORIA'!R19</f>
        <v>18</v>
      </c>
      <c r="S19" s="40">
        <f>'SABANA 1 SUMATORIA'!S19</f>
        <v>0</v>
      </c>
      <c r="T19" s="43">
        <f t="shared" si="4"/>
        <v>12.66667</v>
      </c>
      <c r="U19" s="42">
        <f>'SABANA 1 SUMATORIA'!U19</f>
        <v>19</v>
      </c>
      <c r="V19" s="40">
        <f>'SABANA 1 SUMATORIA'!V19</f>
        <v>19</v>
      </c>
      <c r="W19" s="40">
        <f>'SABANA 1 SUMATORIA'!W19</f>
        <v>0</v>
      </c>
      <c r="X19" s="43">
        <f t="shared" si="5"/>
        <v>12.66667</v>
      </c>
      <c r="Y19" s="41">
        <f>'SABANA 1 SUMATORIA'!Y19</f>
        <v>17</v>
      </c>
      <c r="Z19" s="40">
        <f>'SABANA 1 SUMATORIA'!Z19</f>
        <v>18</v>
      </c>
      <c r="AA19" s="40">
        <f>'SABANA 1 SUMATORIA'!AA19</f>
        <v>0</v>
      </c>
      <c r="AB19" s="43">
        <f t="shared" si="6"/>
        <v>11.66667</v>
      </c>
      <c r="AC19" s="42">
        <f>'SABANA 1 SUMATORIA'!AC19</f>
        <v>18</v>
      </c>
      <c r="AD19" s="40">
        <f>'SABANA 1 SUMATORIA'!AD19</f>
        <v>18</v>
      </c>
      <c r="AE19" s="40">
        <f>'SABANA 1 SUMATORIA'!AE19</f>
        <v>0</v>
      </c>
      <c r="AF19" s="43">
        <f t="shared" si="7"/>
        <v>12</v>
      </c>
      <c r="AG19" s="41">
        <f>'SABANA 1 SUMATORIA'!AG19</f>
        <v>18</v>
      </c>
      <c r="AH19" s="40">
        <f>'SABANA 1 SUMATORIA'!AH19</f>
        <v>18</v>
      </c>
      <c r="AI19" s="40">
        <f>'SABANA 1 SUMATORIA'!AI19</f>
        <v>0</v>
      </c>
      <c r="AJ19" s="43">
        <f t="shared" si="8"/>
        <v>12</v>
      </c>
      <c r="AK19" s="42">
        <f>'SABANA 1 SUMATORIA'!AK19</f>
        <v>16</v>
      </c>
      <c r="AL19" s="40">
        <f>'SABANA 1 SUMATORIA'!AL19</f>
        <v>19</v>
      </c>
      <c r="AM19" s="40">
        <f>'SABANA 1 SUMATORIA'!AM19</f>
        <v>0</v>
      </c>
      <c r="AN19" s="44">
        <f t="shared" si="9"/>
        <v>11.66667</v>
      </c>
      <c r="AO19" s="46">
        <f t="shared" si="10"/>
        <v>11.962964444444443</v>
      </c>
      <c r="AP19" s="5"/>
      <c r="AQ19" s="5"/>
      <c r="AR19" s="8"/>
    </row>
    <row r="20" spans="1:44" s="11" customFormat="1" ht="20.100000000000001" customHeight="1">
      <c r="A20" s="38">
        <f t="shared" si="0"/>
        <v>11</v>
      </c>
      <c r="B20" s="89">
        <f>'SABANA 1 SUMATORIA'!B20</f>
        <v>37076032</v>
      </c>
      <c r="C20" s="90" t="str">
        <f>'SABANA 1 SUMATORIA'!C20</f>
        <v>GARCIA GONZALEZ</v>
      </c>
      <c r="D20" s="90" t="str">
        <f>'SABANA 1 SUMATORIA'!D20</f>
        <v>MARIA GABRIELA</v>
      </c>
      <c r="E20" s="91">
        <f>'SABANA 1 SUMATORIA'!E20</f>
        <v>18</v>
      </c>
      <c r="F20" s="92">
        <f>'SABANA 1 SUMATORIA'!F20</f>
        <v>18</v>
      </c>
      <c r="G20" s="92">
        <f>'SABANA 1 SUMATORIA'!G20</f>
        <v>0</v>
      </c>
      <c r="H20" s="43">
        <f t="shared" si="1"/>
        <v>12</v>
      </c>
      <c r="I20" s="41">
        <f>'SABANA 1 SUMATORIA'!I20</f>
        <v>15</v>
      </c>
      <c r="J20" s="40">
        <f>'SABANA 1 SUMATORIA'!J20</f>
        <v>18</v>
      </c>
      <c r="K20" s="40">
        <f>'SABANA 1 SUMATORIA'!K20</f>
        <v>0</v>
      </c>
      <c r="L20" s="43">
        <f t="shared" si="2"/>
        <v>11</v>
      </c>
      <c r="M20" s="42">
        <f>'SABANA 1 SUMATORIA'!M20</f>
        <v>18</v>
      </c>
      <c r="N20" s="40">
        <f>'SABANA 1 SUMATORIA'!N20</f>
        <v>17</v>
      </c>
      <c r="O20" s="40">
        <f>'SABANA 1 SUMATORIA'!O20</f>
        <v>0</v>
      </c>
      <c r="P20" s="43">
        <f t="shared" si="3"/>
        <v>11.66667</v>
      </c>
      <c r="Q20" s="41">
        <f>'SABANA 1 SUMATORIA'!Q20</f>
        <v>20</v>
      </c>
      <c r="R20" s="40">
        <f>'SABANA 1 SUMATORIA'!R20</f>
        <v>18</v>
      </c>
      <c r="S20" s="40">
        <f>'SABANA 1 SUMATORIA'!S20</f>
        <v>0</v>
      </c>
      <c r="T20" s="43">
        <f t="shared" si="4"/>
        <v>12.66667</v>
      </c>
      <c r="U20" s="42">
        <f>'SABANA 1 SUMATORIA'!U20</f>
        <v>19</v>
      </c>
      <c r="V20" s="40">
        <f>'SABANA 1 SUMATORIA'!V20</f>
        <v>19</v>
      </c>
      <c r="W20" s="40">
        <f>'SABANA 1 SUMATORIA'!W20</f>
        <v>0</v>
      </c>
      <c r="X20" s="43">
        <f t="shared" si="5"/>
        <v>12.66667</v>
      </c>
      <c r="Y20" s="41">
        <f>'SABANA 1 SUMATORIA'!Y20</f>
        <v>18</v>
      </c>
      <c r="Z20" s="40">
        <f>'SABANA 1 SUMATORIA'!Z20</f>
        <v>18</v>
      </c>
      <c r="AA20" s="40">
        <f>'SABANA 1 SUMATORIA'!AA20</f>
        <v>0</v>
      </c>
      <c r="AB20" s="43">
        <f t="shared" si="6"/>
        <v>12</v>
      </c>
      <c r="AC20" s="42">
        <f>'SABANA 1 SUMATORIA'!AC20</f>
        <v>19</v>
      </c>
      <c r="AD20" s="40">
        <f>'SABANA 1 SUMATORIA'!AD20</f>
        <v>17</v>
      </c>
      <c r="AE20" s="40">
        <f>'SABANA 1 SUMATORIA'!AE20</f>
        <v>0</v>
      </c>
      <c r="AF20" s="43">
        <f t="shared" si="7"/>
        <v>12</v>
      </c>
      <c r="AG20" s="41">
        <f>'SABANA 1 SUMATORIA'!AG20</f>
        <v>18</v>
      </c>
      <c r="AH20" s="40">
        <f>'SABANA 1 SUMATORIA'!AH20</f>
        <v>18</v>
      </c>
      <c r="AI20" s="40">
        <f>'SABANA 1 SUMATORIA'!AI20</f>
        <v>0</v>
      </c>
      <c r="AJ20" s="43">
        <f t="shared" si="8"/>
        <v>12</v>
      </c>
      <c r="AK20" s="42">
        <f>'SABANA 1 SUMATORIA'!AK20</f>
        <v>16</v>
      </c>
      <c r="AL20" s="40">
        <f>'SABANA 1 SUMATORIA'!AL20</f>
        <v>19</v>
      </c>
      <c r="AM20" s="40">
        <f>'SABANA 1 SUMATORIA'!AM20</f>
        <v>0</v>
      </c>
      <c r="AN20" s="44">
        <f t="shared" si="9"/>
        <v>11.66667</v>
      </c>
      <c r="AO20" s="46">
        <f t="shared" si="10"/>
        <v>11.962964444444443</v>
      </c>
      <c r="AP20" s="9"/>
      <c r="AQ20" s="9"/>
      <c r="AR20" s="10"/>
    </row>
    <row r="21" spans="1:44" ht="20.100000000000001" customHeight="1">
      <c r="A21" s="23">
        <f t="shared" si="0"/>
        <v>12</v>
      </c>
      <c r="B21" s="84">
        <f>'SABANA 1 SUMATORIA'!B21</f>
        <v>37121585</v>
      </c>
      <c r="C21" s="85" t="str">
        <f>'SABANA 1 SUMATORIA'!C21</f>
        <v>NARVAEZ MORALES</v>
      </c>
      <c r="D21" s="85" t="str">
        <f>'SABANA 1 SUMATORIA'!D21</f>
        <v>JHOANA CAROLINA</v>
      </c>
      <c r="E21" s="88">
        <f>'SABANA 1 SUMATORIA'!E21</f>
        <v>18</v>
      </c>
      <c r="F21" s="87">
        <f>'SABANA 1 SUMATORIA'!F21</f>
        <v>14</v>
      </c>
      <c r="G21" s="87">
        <f>'SABANA 1 SUMATORIA'!G21</f>
        <v>0</v>
      </c>
      <c r="H21" s="43">
        <f t="shared" si="1"/>
        <v>10.66667</v>
      </c>
      <c r="I21" s="41">
        <f>'SABANA 1 SUMATORIA'!I21</f>
        <v>14</v>
      </c>
      <c r="J21" s="40">
        <f>'SABANA 1 SUMATORIA'!J21</f>
        <v>18</v>
      </c>
      <c r="K21" s="40">
        <f>'SABANA 1 SUMATORIA'!K21</f>
        <v>0</v>
      </c>
      <c r="L21" s="43">
        <f t="shared" si="2"/>
        <v>10.66667</v>
      </c>
      <c r="M21" s="42">
        <f>'SABANA 1 SUMATORIA'!M21</f>
        <v>17</v>
      </c>
      <c r="N21" s="40">
        <f>'SABANA 1 SUMATORIA'!N21</f>
        <v>15</v>
      </c>
      <c r="O21" s="40">
        <f>'SABANA 1 SUMATORIA'!O21</f>
        <v>0</v>
      </c>
      <c r="P21" s="43">
        <f t="shared" si="3"/>
        <v>10.66667</v>
      </c>
      <c r="Q21" s="41">
        <f>'SABANA 1 SUMATORIA'!Q21</f>
        <v>19</v>
      </c>
      <c r="R21" s="40">
        <f>'SABANA 1 SUMATORIA'!R21</f>
        <v>20</v>
      </c>
      <c r="S21" s="40">
        <f>'SABANA 1 SUMATORIA'!S21</f>
        <v>0</v>
      </c>
      <c r="T21" s="43">
        <f t="shared" si="4"/>
        <v>13</v>
      </c>
      <c r="U21" s="42">
        <f>'SABANA 1 SUMATORIA'!U21</f>
        <v>19</v>
      </c>
      <c r="V21" s="40">
        <f>'SABANA 1 SUMATORIA'!V21</f>
        <v>15</v>
      </c>
      <c r="W21" s="40">
        <f>'SABANA 1 SUMATORIA'!W21</f>
        <v>0</v>
      </c>
      <c r="X21" s="43">
        <f t="shared" si="5"/>
        <v>11.33333</v>
      </c>
      <c r="Y21" s="41">
        <f>'SABANA 1 SUMATORIA'!Y21</f>
        <v>18</v>
      </c>
      <c r="Z21" s="40">
        <f>'SABANA 1 SUMATORIA'!Z21</f>
        <v>15</v>
      </c>
      <c r="AA21" s="40">
        <f>'SABANA 1 SUMATORIA'!AA21</f>
        <v>0</v>
      </c>
      <c r="AB21" s="43">
        <f t="shared" si="6"/>
        <v>11</v>
      </c>
      <c r="AC21" s="42">
        <f>'SABANA 1 SUMATORIA'!AC21</f>
        <v>19</v>
      </c>
      <c r="AD21" s="40">
        <f>'SABANA 1 SUMATORIA'!AD21</f>
        <v>16</v>
      </c>
      <c r="AE21" s="40">
        <f>'SABANA 1 SUMATORIA'!AE21</f>
        <v>0</v>
      </c>
      <c r="AF21" s="43">
        <f t="shared" si="7"/>
        <v>11.66667</v>
      </c>
      <c r="AG21" s="41">
        <f>'SABANA 1 SUMATORIA'!AG21</f>
        <v>18</v>
      </c>
      <c r="AH21" s="40">
        <f>'SABANA 1 SUMATORIA'!AH21</f>
        <v>14</v>
      </c>
      <c r="AI21" s="40">
        <f>'SABANA 1 SUMATORIA'!AI21</f>
        <v>0</v>
      </c>
      <c r="AJ21" s="43">
        <f t="shared" si="8"/>
        <v>10.66667</v>
      </c>
      <c r="AK21" s="42">
        <f>'SABANA 1 SUMATORIA'!AK21</f>
        <v>15</v>
      </c>
      <c r="AL21" s="40">
        <f>'SABANA 1 SUMATORIA'!AL21</f>
        <v>10</v>
      </c>
      <c r="AM21" s="40">
        <f>'SABANA 1 SUMATORIA'!AM21</f>
        <v>0</v>
      </c>
      <c r="AN21" s="44">
        <f t="shared" si="9"/>
        <v>8.3333300000000001</v>
      </c>
      <c r="AO21" s="46">
        <f t="shared" si="10"/>
        <v>10.88889</v>
      </c>
      <c r="AP21" s="5"/>
      <c r="AQ21" s="5"/>
      <c r="AR21" s="8"/>
    </row>
    <row r="22" spans="1:44" ht="20.100000000000001" customHeight="1">
      <c r="A22" s="23">
        <f t="shared" si="0"/>
        <v>13</v>
      </c>
      <c r="B22" s="84">
        <f>'SABANA 1 SUMATORIA'!B22</f>
        <v>37154543</v>
      </c>
      <c r="C22" s="85" t="str">
        <f>'SABANA 1 SUMATORIA'!C22</f>
        <v>MACHUCA NACACHE</v>
      </c>
      <c r="D22" s="85" t="str">
        <f>'SABANA 1 SUMATORIA'!D22</f>
        <v>JHAYDERLIZ SAHELIZ</v>
      </c>
      <c r="E22" s="88">
        <f>'SABANA 1 SUMATORIA'!E22</f>
        <v>14</v>
      </c>
      <c r="F22" s="87">
        <f>'SABANA 1 SUMATORIA'!F22</f>
        <v>19</v>
      </c>
      <c r="G22" s="87">
        <f>'SABANA 1 SUMATORIA'!G22</f>
        <v>0</v>
      </c>
      <c r="H22" s="43">
        <f t="shared" si="1"/>
        <v>11</v>
      </c>
      <c r="I22" s="41">
        <f>'SABANA 1 SUMATORIA'!I22</f>
        <v>14</v>
      </c>
      <c r="J22" s="40">
        <f>'SABANA 1 SUMATORIA'!J22</f>
        <v>17</v>
      </c>
      <c r="K22" s="40">
        <f>'SABANA 1 SUMATORIA'!K22</f>
        <v>0</v>
      </c>
      <c r="L22" s="43">
        <f t="shared" si="2"/>
        <v>10.33333</v>
      </c>
      <c r="M22" s="42">
        <f>'SABANA 1 SUMATORIA'!M22</f>
        <v>17</v>
      </c>
      <c r="N22" s="40">
        <f>'SABANA 1 SUMATORIA'!N22</f>
        <v>15</v>
      </c>
      <c r="O22" s="40">
        <f>'SABANA 1 SUMATORIA'!O22</f>
        <v>0</v>
      </c>
      <c r="P22" s="43">
        <f t="shared" si="3"/>
        <v>10.66667</v>
      </c>
      <c r="Q22" s="41">
        <f>'SABANA 1 SUMATORIA'!Q22</f>
        <v>20</v>
      </c>
      <c r="R22" s="40">
        <f>'SABANA 1 SUMATORIA'!R22</f>
        <v>20</v>
      </c>
      <c r="S22" s="40">
        <f>'SABANA 1 SUMATORIA'!S22</f>
        <v>0</v>
      </c>
      <c r="T22" s="43">
        <f t="shared" si="4"/>
        <v>13.33333</v>
      </c>
      <c r="U22" s="42">
        <f>'SABANA 1 SUMATORIA'!U22</f>
        <v>18</v>
      </c>
      <c r="V22" s="40">
        <f>'SABANA 1 SUMATORIA'!V22</f>
        <v>18</v>
      </c>
      <c r="W22" s="40">
        <f>'SABANA 1 SUMATORIA'!W22</f>
        <v>0</v>
      </c>
      <c r="X22" s="43">
        <f t="shared" si="5"/>
        <v>12</v>
      </c>
      <c r="Y22" s="41">
        <f>'SABANA 1 SUMATORIA'!Y22</f>
        <v>19</v>
      </c>
      <c r="Z22" s="40">
        <f>'SABANA 1 SUMATORIA'!Z22</f>
        <v>17</v>
      </c>
      <c r="AA22" s="40">
        <f>'SABANA 1 SUMATORIA'!AA22</f>
        <v>0</v>
      </c>
      <c r="AB22" s="43">
        <f t="shared" si="6"/>
        <v>12</v>
      </c>
      <c r="AC22" s="42">
        <f>'SABANA 1 SUMATORIA'!AC22</f>
        <v>18</v>
      </c>
      <c r="AD22" s="40">
        <f>'SABANA 1 SUMATORIA'!AD22</f>
        <v>14</v>
      </c>
      <c r="AE22" s="40">
        <f>'SABANA 1 SUMATORIA'!AE22</f>
        <v>0</v>
      </c>
      <c r="AF22" s="43">
        <f t="shared" si="7"/>
        <v>10.66667</v>
      </c>
      <c r="AG22" s="41">
        <f>'SABANA 1 SUMATORIA'!AG22</f>
        <v>15</v>
      </c>
      <c r="AH22" s="40">
        <f>'SABANA 1 SUMATORIA'!AH22</f>
        <v>19</v>
      </c>
      <c r="AI22" s="40">
        <f>'SABANA 1 SUMATORIA'!AI22</f>
        <v>0</v>
      </c>
      <c r="AJ22" s="43">
        <f t="shared" si="8"/>
        <v>11.33333</v>
      </c>
      <c r="AK22" s="42">
        <f>'SABANA 1 SUMATORIA'!AK22</f>
        <v>16</v>
      </c>
      <c r="AL22" s="40">
        <f>'SABANA 1 SUMATORIA'!AL22</f>
        <v>19</v>
      </c>
      <c r="AM22" s="40">
        <f>'SABANA 1 SUMATORIA'!AM22</f>
        <v>0</v>
      </c>
      <c r="AN22" s="44">
        <f t="shared" si="9"/>
        <v>11.66667</v>
      </c>
      <c r="AO22" s="46">
        <f t="shared" si="10"/>
        <v>11.444444444444445</v>
      </c>
      <c r="AP22" s="5"/>
      <c r="AQ22" s="5"/>
      <c r="AR22" s="8"/>
    </row>
    <row r="23" spans="1:44" ht="20.100000000000001" customHeight="1">
      <c r="A23" s="23">
        <f t="shared" si="0"/>
        <v>14</v>
      </c>
      <c r="B23" s="84">
        <f>'SABANA 1 SUMATORIA'!B23</f>
        <v>37155872</v>
      </c>
      <c r="C23" s="85" t="str">
        <f>'SABANA 1 SUMATORIA'!C23</f>
        <v>DIAZ MEDINA</v>
      </c>
      <c r="D23" s="85" t="str">
        <f>'SABANA 1 SUMATORIA'!D23</f>
        <v>ADRIANA PATRICIA</v>
      </c>
      <c r="E23" s="88">
        <f>'SABANA 1 SUMATORIA'!E23</f>
        <v>18</v>
      </c>
      <c r="F23" s="87">
        <f>'SABANA 1 SUMATORIA'!F23</f>
        <v>19</v>
      </c>
      <c r="G23" s="87">
        <f>'SABANA 1 SUMATORIA'!G23</f>
        <v>0</v>
      </c>
      <c r="H23" s="43">
        <f t="shared" si="1"/>
        <v>12.33333</v>
      </c>
      <c r="I23" s="41">
        <f>'SABANA 1 SUMATORIA'!I23</f>
        <v>16</v>
      </c>
      <c r="J23" s="40">
        <f>'SABANA 1 SUMATORIA'!J23</f>
        <v>19</v>
      </c>
      <c r="K23" s="40">
        <f>'SABANA 1 SUMATORIA'!K23</f>
        <v>0</v>
      </c>
      <c r="L23" s="43">
        <f t="shared" si="2"/>
        <v>11.66667</v>
      </c>
      <c r="M23" s="42">
        <f>'SABANA 1 SUMATORIA'!M23</f>
        <v>17</v>
      </c>
      <c r="N23" s="40">
        <f>'SABANA 1 SUMATORIA'!N23</f>
        <v>19</v>
      </c>
      <c r="O23" s="40">
        <f>'SABANA 1 SUMATORIA'!O23</f>
        <v>0</v>
      </c>
      <c r="P23" s="43">
        <f t="shared" si="3"/>
        <v>12</v>
      </c>
      <c r="Q23" s="41">
        <f>'SABANA 1 SUMATORIA'!Q23</f>
        <v>20</v>
      </c>
      <c r="R23" s="40">
        <f>'SABANA 1 SUMATORIA'!R23</f>
        <v>19</v>
      </c>
      <c r="S23" s="40">
        <f>'SABANA 1 SUMATORIA'!S23</f>
        <v>0</v>
      </c>
      <c r="T23" s="43">
        <f t="shared" si="4"/>
        <v>13</v>
      </c>
      <c r="U23" s="42">
        <f>'SABANA 1 SUMATORIA'!U23</f>
        <v>19</v>
      </c>
      <c r="V23" s="40">
        <f>'SABANA 1 SUMATORIA'!V23</f>
        <v>19</v>
      </c>
      <c r="W23" s="40">
        <f>'SABANA 1 SUMATORIA'!W23</f>
        <v>0</v>
      </c>
      <c r="X23" s="43">
        <f t="shared" si="5"/>
        <v>12.66667</v>
      </c>
      <c r="Y23" s="41">
        <f>'SABANA 1 SUMATORIA'!Y23</f>
        <v>19</v>
      </c>
      <c r="Z23" s="40">
        <f>'SABANA 1 SUMATORIA'!Z23</f>
        <v>18</v>
      </c>
      <c r="AA23" s="40">
        <f>'SABANA 1 SUMATORIA'!AA23</f>
        <v>0</v>
      </c>
      <c r="AB23" s="43">
        <f t="shared" si="6"/>
        <v>12.33333</v>
      </c>
      <c r="AC23" s="42">
        <f>'SABANA 1 SUMATORIA'!AC23</f>
        <v>19</v>
      </c>
      <c r="AD23" s="40">
        <f>'SABANA 1 SUMATORIA'!AD23</f>
        <v>18</v>
      </c>
      <c r="AE23" s="40">
        <f>'SABANA 1 SUMATORIA'!AE23</f>
        <v>0</v>
      </c>
      <c r="AF23" s="43">
        <f t="shared" si="7"/>
        <v>12.33333</v>
      </c>
      <c r="AG23" s="41">
        <f>'SABANA 1 SUMATORIA'!AG23</f>
        <v>18</v>
      </c>
      <c r="AH23" s="40">
        <f>'SABANA 1 SUMATORIA'!AH23</f>
        <v>17</v>
      </c>
      <c r="AI23" s="40">
        <f>'SABANA 1 SUMATORIA'!AI23</f>
        <v>0</v>
      </c>
      <c r="AJ23" s="43">
        <f t="shared" si="8"/>
        <v>11.66667</v>
      </c>
      <c r="AK23" s="42">
        <f>'SABANA 1 SUMATORIA'!AK23</f>
        <v>16</v>
      </c>
      <c r="AL23" s="40">
        <f>'SABANA 1 SUMATORIA'!AL23</f>
        <v>19</v>
      </c>
      <c r="AM23" s="40">
        <f>'SABANA 1 SUMATORIA'!AM23</f>
        <v>0</v>
      </c>
      <c r="AN23" s="44">
        <f t="shared" si="9"/>
        <v>11.66667</v>
      </c>
      <c r="AO23" s="46">
        <f t="shared" si="10"/>
        <v>12.185185555555556</v>
      </c>
      <c r="AP23" s="5"/>
      <c r="AQ23" s="5"/>
      <c r="AR23" s="8"/>
    </row>
    <row r="24" spans="1:44" ht="20.100000000000001" customHeight="1">
      <c r="A24" s="23">
        <f t="shared" si="0"/>
        <v>15</v>
      </c>
      <c r="B24" s="84" t="str">
        <f>'SABANA 1 SUMATORIA'!B24</f>
        <v>CE 11218854326</v>
      </c>
      <c r="C24" s="85" t="str">
        <f>'SABANA 1 SUMATORIA'!C24</f>
        <v>VILLAHERMOSA ROJAS</v>
      </c>
      <c r="D24" s="85" t="str">
        <f>'SABANA 1 SUMATORIA'!D24</f>
        <v>EVA ARANTXA</v>
      </c>
      <c r="E24" s="88">
        <f>'SABANA 1 SUMATORIA'!E24</f>
        <v>19</v>
      </c>
      <c r="F24" s="87">
        <f>'SABANA 1 SUMATORIA'!F24</f>
        <v>19</v>
      </c>
      <c r="G24" s="87">
        <f>'SABANA 1 SUMATORIA'!G24</f>
        <v>0</v>
      </c>
      <c r="H24" s="43">
        <f t="shared" si="1"/>
        <v>12.66667</v>
      </c>
      <c r="I24" s="41">
        <f>'SABANA 1 SUMATORIA'!I24</f>
        <v>19</v>
      </c>
      <c r="J24" s="40">
        <f>'SABANA 1 SUMATORIA'!J24</f>
        <v>20</v>
      </c>
      <c r="K24" s="40">
        <f>'SABANA 1 SUMATORIA'!K24</f>
        <v>0</v>
      </c>
      <c r="L24" s="43">
        <f t="shared" si="2"/>
        <v>13</v>
      </c>
      <c r="M24" s="42">
        <f>'SABANA 1 SUMATORIA'!M24</f>
        <v>19</v>
      </c>
      <c r="N24" s="40">
        <f>'SABANA 1 SUMATORIA'!N24</f>
        <v>19</v>
      </c>
      <c r="O24" s="40">
        <f>'SABANA 1 SUMATORIA'!O24</f>
        <v>0</v>
      </c>
      <c r="P24" s="43">
        <f t="shared" si="3"/>
        <v>12.66667</v>
      </c>
      <c r="Q24" s="41">
        <f>'SABANA 1 SUMATORIA'!Q24</f>
        <v>19</v>
      </c>
      <c r="R24" s="40">
        <f>'SABANA 1 SUMATORIA'!R24</f>
        <v>20</v>
      </c>
      <c r="S24" s="40">
        <f>'SABANA 1 SUMATORIA'!S24</f>
        <v>0</v>
      </c>
      <c r="T24" s="43">
        <f t="shared" si="4"/>
        <v>13</v>
      </c>
      <c r="U24" s="42">
        <f>'SABANA 1 SUMATORIA'!U24</f>
        <v>19</v>
      </c>
      <c r="V24" s="40">
        <f>'SABANA 1 SUMATORIA'!V24</f>
        <v>19</v>
      </c>
      <c r="W24" s="40">
        <f>'SABANA 1 SUMATORIA'!W24</f>
        <v>0</v>
      </c>
      <c r="X24" s="43">
        <f t="shared" si="5"/>
        <v>12.66667</v>
      </c>
      <c r="Y24" s="41">
        <f>'SABANA 1 SUMATORIA'!Y24</f>
        <v>19</v>
      </c>
      <c r="Z24" s="40">
        <f>'SABANA 1 SUMATORIA'!Z24</f>
        <v>19</v>
      </c>
      <c r="AA24" s="40">
        <f>'SABANA 1 SUMATORIA'!AA24</f>
        <v>0</v>
      </c>
      <c r="AB24" s="43">
        <f t="shared" si="6"/>
        <v>12.66667</v>
      </c>
      <c r="AC24" s="42">
        <f>'SABANA 1 SUMATORIA'!AC24</f>
        <v>19</v>
      </c>
      <c r="AD24" s="40">
        <f>'SABANA 1 SUMATORIA'!AD24</f>
        <v>19</v>
      </c>
      <c r="AE24" s="40">
        <f>'SABANA 1 SUMATORIA'!AE24</f>
        <v>0</v>
      </c>
      <c r="AF24" s="43">
        <f t="shared" si="7"/>
        <v>12.66667</v>
      </c>
      <c r="AG24" s="41">
        <f>'SABANA 1 SUMATORIA'!AG24</f>
        <v>19</v>
      </c>
      <c r="AH24" s="40">
        <f>'SABANA 1 SUMATORIA'!AH24</f>
        <v>19</v>
      </c>
      <c r="AI24" s="40">
        <f>'SABANA 1 SUMATORIA'!AI24</f>
        <v>0</v>
      </c>
      <c r="AJ24" s="43">
        <f t="shared" si="8"/>
        <v>12.66667</v>
      </c>
      <c r="AK24" s="42">
        <f>'SABANA 1 SUMATORIA'!AK24</f>
        <v>19</v>
      </c>
      <c r="AL24" s="40">
        <f>'SABANA 1 SUMATORIA'!AL24</f>
        <v>20</v>
      </c>
      <c r="AM24" s="40">
        <f>'SABANA 1 SUMATORIA'!AM24</f>
        <v>0</v>
      </c>
      <c r="AN24" s="44">
        <f t="shared" si="9"/>
        <v>13</v>
      </c>
      <c r="AO24" s="46">
        <f t="shared" si="10"/>
        <v>12.77778</v>
      </c>
      <c r="AP24" s="5"/>
      <c r="AQ24" s="5"/>
      <c r="AR24" s="8"/>
    </row>
    <row r="25" spans="1:44" ht="20.100000000000001" customHeight="1">
      <c r="A25" s="23">
        <f t="shared" si="0"/>
        <v>16</v>
      </c>
      <c r="B25" s="84" t="str">
        <f>'SABANA 1 SUMATORIA'!B25</f>
        <v>CE 11321374820</v>
      </c>
      <c r="C25" s="85" t="str">
        <f>'SABANA 1 SUMATORIA'!C25</f>
        <v>FIGUEROA  OROPEZA</v>
      </c>
      <c r="D25" s="85" t="str">
        <f>'SABANA 1 SUMATORIA'!D25</f>
        <v>STEPHANY CAROLINA</v>
      </c>
      <c r="E25" s="88">
        <f>'SABANA 1 SUMATORIA'!E25</f>
        <v>19</v>
      </c>
      <c r="F25" s="87">
        <f>'SABANA 1 SUMATORIA'!F25</f>
        <v>19</v>
      </c>
      <c r="G25" s="87">
        <f>'SABANA 1 SUMATORIA'!G25</f>
        <v>0</v>
      </c>
      <c r="H25" s="43">
        <f t="shared" si="1"/>
        <v>12.66667</v>
      </c>
      <c r="I25" s="41">
        <f>'SABANA 1 SUMATORIA'!I25</f>
        <v>19</v>
      </c>
      <c r="J25" s="40">
        <f>'SABANA 1 SUMATORIA'!J25</f>
        <v>19</v>
      </c>
      <c r="K25" s="40">
        <f>'SABANA 1 SUMATORIA'!K25</f>
        <v>0</v>
      </c>
      <c r="L25" s="43">
        <f t="shared" si="2"/>
        <v>12.66667</v>
      </c>
      <c r="M25" s="42">
        <f>'SABANA 1 SUMATORIA'!M25</f>
        <v>19</v>
      </c>
      <c r="N25" s="40">
        <f>'SABANA 1 SUMATORIA'!N25</f>
        <v>19</v>
      </c>
      <c r="O25" s="40">
        <f>'SABANA 1 SUMATORIA'!O25</f>
        <v>0</v>
      </c>
      <c r="P25" s="43">
        <f t="shared" si="3"/>
        <v>12.66667</v>
      </c>
      <c r="Q25" s="41">
        <f>'SABANA 1 SUMATORIA'!Q25</f>
        <v>20</v>
      </c>
      <c r="R25" s="40">
        <f>'SABANA 1 SUMATORIA'!R25</f>
        <v>20</v>
      </c>
      <c r="S25" s="40">
        <f>'SABANA 1 SUMATORIA'!S25</f>
        <v>0</v>
      </c>
      <c r="T25" s="43">
        <f t="shared" si="4"/>
        <v>13.33333</v>
      </c>
      <c r="U25" s="42">
        <f>'SABANA 1 SUMATORIA'!U25</f>
        <v>19</v>
      </c>
      <c r="V25" s="40">
        <f>'SABANA 1 SUMATORIA'!V25</f>
        <v>19</v>
      </c>
      <c r="W25" s="40">
        <f>'SABANA 1 SUMATORIA'!W25</f>
        <v>0</v>
      </c>
      <c r="X25" s="43">
        <f t="shared" si="5"/>
        <v>12.66667</v>
      </c>
      <c r="Y25" s="41">
        <f>'SABANA 1 SUMATORIA'!Y25</f>
        <v>19</v>
      </c>
      <c r="Z25" s="40">
        <f>'SABANA 1 SUMATORIA'!Z25</f>
        <v>19</v>
      </c>
      <c r="AA25" s="40">
        <f>'SABANA 1 SUMATORIA'!AA25</f>
        <v>0</v>
      </c>
      <c r="AB25" s="43">
        <f t="shared" si="6"/>
        <v>12.66667</v>
      </c>
      <c r="AC25" s="42">
        <f>'SABANA 1 SUMATORIA'!AC25</f>
        <v>19</v>
      </c>
      <c r="AD25" s="40">
        <f>'SABANA 1 SUMATORIA'!AD25</f>
        <v>19</v>
      </c>
      <c r="AE25" s="40">
        <f>'SABANA 1 SUMATORIA'!AE25</f>
        <v>0</v>
      </c>
      <c r="AF25" s="43">
        <f t="shared" si="7"/>
        <v>12.66667</v>
      </c>
      <c r="AG25" s="41">
        <f>'SABANA 1 SUMATORIA'!AG25</f>
        <v>19</v>
      </c>
      <c r="AH25" s="40">
        <f>'SABANA 1 SUMATORIA'!AH25</f>
        <v>20</v>
      </c>
      <c r="AI25" s="40">
        <f>'SABANA 1 SUMATORIA'!AI25</f>
        <v>0</v>
      </c>
      <c r="AJ25" s="43">
        <f t="shared" si="8"/>
        <v>13</v>
      </c>
      <c r="AK25" s="42">
        <f>'SABANA 1 SUMATORIA'!AK25</f>
        <v>18</v>
      </c>
      <c r="AL25" s="40">
        <f>'SABANA 1 SUMATORIA'!AL25</f>
        <v>20</v>
      </c>
      <c r="AM25" s="40">
        <f>'SABANA 1 SUMATORIA'!AM25</f>
        <v>0</v>
      </c>
      <c r="AN25" s="44">
        <f t="shared" si="9"/>
        <v>12.66667</v>
      </c>
      <c r="AO25" s="46">
        <f t="shared" si="10"/>
        <v>12.77778</v>
      </c>
      <c r="AP25" s="5"/>
      <c r="AQ25" s="5"/>
      <c r="AR25" s="8"/>
    </row>
    <row r="26" spans="1:44" ht="20.100000000000001" customHeight="1">
      <c r="A26" s="23">
        <f t="shared" si="0"/>
        <v>17</v>
      </c>
      <c r="B26" s="84" t="str">
        <f>'SABANA 1 SUMATORIA'!B26</f>
        <v>CE 11324791049</v>
      </c>
      <c r="C26" s="85" t="str">
        <f>'SABANA 1 SUMATORIA'!C26</f>
        <v>MILANO INFANTE</v>
      </c>
      <c r="D26" s="85" t="str">
        <f>'SABANA 1 SUMATORIA'!D26</f>
        <v>GEYNI JHOSLEN</v>
      </c>
      <c r="E26" s="88">
        <f>'SABANA 1 SUMATORIA'!E26</f>
        <v>13</v>
      </c>
      <c r="F26" s="87">
        <f>'SABANA 1 SUMATORIA'!F26</f>
        <v>13</v>
      </c>
      <c r="G26" s="87">
        <f>'SABANA 1 SUMATORIA'!G26</f>
        <v>0</v>
      </c>
      <c r="H26" s="43">
        <f t="shared" si="1"/>
        <v>8.6666699999999999</v>
      </c>
      <c r="I26" s="41">
        <f>'SABANA 1 SUMATORIA'!I26</f>
        <v>7</v>
      </c>
      <c r="J26" s="40">
        <f>'SABANA 1 SUMATORIA'!J26</f>
        <v>15</v>
      </c>
      <c r="K26" s="40">
        <f>'SABANA 1 SUMATORIA'!K26</f>
        <v>0</v>
      </c>
      <c r="L26" s="43">
        <f t="shared" si="2"/>
        <v>7.3333300000000001</v>
      </c>
      <c r="M26" s="42">
        <f>'SABANA 1 SUMATORIA'!M26</f>
        <v>15</v>
      </c>
      <c r="N26" s="40">
        <f>'SABANA 1 SUMATORIA'!N26</f>
        <v>16</v>
      </c>
      <c r="O26" s="40">
        <f>'SABANA 1 SUMATORIA'!O26</f>
        <v>0</v>
      </c>
      <c r="P26" s="43">
        <f t="shared" si="3"/>
        <v>10.33333</v>
      </c>
      <c r="Q26" s="41">
        <f>'SABANA 1 SUMATORIA'!Q26</f>
        <v>17</v>
      </c>
      <c r="R26" s="40">
        <f>'SABANA 1 SUMATORIA'!R26</f>
        <v>19</v>
      </c>
      <c r="S26" s="40">
        <f>'SABANA 1 SUMATORIA'!S26</f>
        <v>0</v>
      </c>
      <c r="T26" s="43">
        <f t="shared" si="4"/>
        <v>12</v>
      </c>
      <c r="U26" s="42">
        <f>'SABANA 1 SUMATORIA'!U26</f>
        <v>14</v>
      </c>
      <c r="V26" s="40">
        <f>'SABANA 1 SUMATORIA'!V26</f>
        <v>15</v>
      </c>
      <c r="W26" s="40">
        <f>'SABANA 1 SUMATORIA'!W26</f>
        <v>0</v>
      </c>
      <c r="X26" s="43">
        <f t="shared" si="5"/>
        <v>9.6666699999999999</v>
      </c>
      <c r="Y26" s="41">
        <f>'SABANA 1 SUMATORIA'!Y26</f>
        <v>17</v>
      </c>
      <c r="Z26" s="40">
        <f>'SABANA 1 SUMATORIA'!Z26</f>
        <v>15</v>
      </c>
      <c r="AA26" s="40">
        <f>'SABANA 1 SUMATORIA'!AA26</f>
        <v>0</v>
      </c>
      <c r="AB26" s="43">
        <f t="shared" si="6"/>
        <v>10.66667</v>
      </c>
      <c r="AC26" s="42">
        <f>'SABANA 1 SUMATORIA'!AC26</f>
        <v>15</v>
      </c>
      <c r="AD26" s="40">
        <f>'SABANA 1 SUMATORIA'!AD26</f>
        <v>14</v>
      </c>
      <c r="AE26" s="40">
        <f>'SABANA 1 SUMATORIA'!AE26</f>
        <v>0</v>
      </c>
      <c r="AF26" s="43">
        <f t="shared" si="7"/>
        <v>9.6666699999999999</v>
      </c>
      <c r="AG26" s="41">
        <f>'SABANA 1 SUMATORIA'!AG26</f>
        <v>13</v>
      </c>
      <c r="AH26" s="40">
        <f>'SABANA 1 SUMATORIA'!AH26</f>
        <v>13</v>
      </c>
      <c r="AI26" s="40">
        <f>'SABANA 1 SUMATORIA'!AI26</f>
        <v>0</v>
      </c>
      <c r="AJ26" s="43">
        <f t="shared" si="8"/>
        <v>8.6666699999999999</v>
      </c>
      <c r="AK26" s="42">
        <f>'SABANA 1 SUMATORIA'!AK26</f>
        <v>12</v>
      </c>
      <c r="AL26" s="40">
        <f>'SABANA 1 SUMATORIA'!AL26</f>
        <v>18</v>
      </c>
      <c r="AM26" s="40">
        <f>'SABANA 1 SUMATORIA'!AM26</f>
        <v>0</v>
      </c>
      <c r="AN26" s="44">
        <f t="shared" si="9"/>
        <v>10</v>
      </c>
      <c r="AO26" s="46">
        <f t="shared" si="10"/>
        <v>9.6666677777777767</v>
      </c>
      <c r="AP26" s="5"/>
      <c r="AQ26" s="5"/>
      <c r="AR26" s="8"/>
    </row>
    <row r="27" spans="1:44" ht="20.100000000000001" customHeight="1">
      <c r="A27" s="23">
        <f t="shared" si="0"/>
        <v>18</v>
      </c>
      <c r="B27" s="84" t="str">
        <f>'SABANA 1 SUMATORIA'!B27</f>
        <v>CE 11327541273</v>
      </c>
      <c r="C27" s="85" t="str">
        <f>'SABANA 1 SUMATORIA'!C27</f>
        <v>CORREA DIAZ</v>
      </c>
      <c r="D27" s="85" t="str">
        <f>'SABANA 1 SUMATORIA'!D27</f>
        <v>CARLOS DANIEL</v>
      </c>
      <c r="E27" s="88">
        <f>'SABANA 1 SUMATORIA'!E27</f>
        <v>16</v>
      </c>
      <c r="F27" s="87">
        <f>'SABANA 1 SUMATORIA'!F27</f>
        <v>19</v>
      </c>
      <c r="G27" s="87">
        <f>'SABANA 1 SUMATORIA'!G27</f>
        <v>0</v>
      </c>
      <c r="H27" s="43">
        <f t="shared" si="1"/>
        <v>11.66667</v>
      </c>
      <c r="I27" s="41">
        <f>'SABANA 1 SUMATORIA'!I27</f>
        <v>17</v>
      </c>
      <c r="J27" s="40">
        <f>'SABANA 1 SUMATORIA'!J27</f>
        <v>18</v>
      </c>
      <c r="K27" s="40">
        <f>'SABANA 1 SUMATORIA'!K27</f>
        <v>0</v>
      </c>
      <c r="L27" s="43">
        <f t="shared" si="2"/>
        <v>11.66667</v>
      </c>
      <c r="M27" s="42">
        <f>'SABANA 1 SUMATORIA'!M27</f>
        <v>17</v>
      </c>
      <c r="N27" s="40">
        <f>'SABANA 1 SUMATORIA'!N27</f>
        <v>18</v>
      </c>
      <c r="O27" s="40">
        <f>'SABANA 1 SUMATORIA'!O27</f>
        <v>0</v>
      </c>
      <c r="P27" s="43">
        <f t="shared" si="3"/>
        <v>11.66667</v>
      </c>
      <c r="Q27" s="41">
        <f>'SABANA 1 SUMATORIA'!Q27</f>
        <v>20</v>
      </c>
      <c r="R27" s="40">
        <f>'SABANA 1 SUMATORIA'!R27</f>
        <v>20</v>
      </c>
      <c r="S27" s="40">
        <f>'SABANA 1 SUMATORIA'!S27</f>
        <v>0</v>
      </c>
      <c r="T27" s="43">
        <f t="shared" si="4"/>
        <v>13.33333</v>
      </c>
      <c r="U27" s="42">
        <f>'SABANA 1 SUMATORIA'!U27</f>
        <v>18</v>
      </c>
      <c r="V27" s="40">
        <f>'SABANA 1 SUMATORIA'!V27</f>
        <v>18</v>
      </c>
      <c r="W27" s="40">
        <f>'SABANA 1 SUMATORIA'!W27</f>
        <v>0</v>
      </c>
      <c r="X27" s="43">
        <f t="shared" si="5"/>
        <v>12</v>
      </c>
      <c r="Y27" s="41">
        <f>'SABANA 1 SUMATORIA'!Y27</f>
        <v>17</v>
      </c>
      <c r="Z27" s="40">
        <f>'SABANA 1 SUMATORIA'!Z27</f>
        <v>18</v>
      </c>
      <c r="AA27" s="40">
        <f>'SABANA 1 SUMATORIA'!AA27</f>
        <v>0</v>
      </c>
      <c r="AB27" s="43">
        <f t="shared" si="6"/>
        <v>11.66667</v>
      </c>
      <c r="AC27" s="42">
        <f>'SABANA 1 SUMATORIA'!AC27</f>
        <v>18</v>
      </c>
      <c r="AD27" s="40">
        <f>'SABANA 1 SUMATORIA'!AD27</f>
        <v>17</v>
      </c>
      <c r="AE27" s="40">
        <f>'SABANA 1 SUMATORIA'!AE27</f>
        <v>0</v>
      </c>
      <c r="AF27" s="43">
        <f t="shared" si="7"/>
        <v>11.66667</v>
      </c>
      <c r="AG27" s="41">
        <f>'SABANA 1 SUMATORIA'!AG27</f>
        <v>19</v>
      </c>
      <c r="AH27" s="40">
        <f>'SABANA 1 SUMATORIA'!AH27</f>
        <v>18</v>
      </c>
      <c r="AI27" s="40">
        <f>'SABANA 1 SUMATORIA'!AI27</f>
        <v>0</v>
      </c>
      <c r="AJ27" s="43">
        <f t="shared" si="8"/>
        <v>12.33333</v>
      </c>
      <c r="AK27" s="42">
        <f>'SABANA 1 SUMATORIA'!AK27</f>
        <v>17</v>
      </c>
      <c r="AL27" s="40">
        <f>'SABANA 1 SUMATORIA'!AL27</f>
        <v>17</v>
      </c>
      <c r="AM27" s="40">
        <f>'SABANA 1 SUMATORIA'!AM27</f>
        <v>0</v>
      </c>
      <c r="AN27" s="44">
        <f t="shared" si="9"/>
        <v>11.33333</v>
      </c>
      <c r="AO27" s="46">
        <f t="shared" si="10"/>
        <v>11.925926666666667</v>
      </c>
      <c r="AP27" s="5"/>
      <c r="AQ27" s="5"/>
      <c r="AR27" s="8"/>
    </row>
    <row r="28" spans="1:44" ht="20.100000000000001" customHeight="1">
      <c r="A28" s="23">
        <f t="shared" si="0"/>
        <v>19</v>
      </c>
      <c r="B28" s="84" t="str">
        <f>'SABANA 1 SUMATORIA'!B28</f>
        <v>CE 11417000945</v>
      </c>
      <c r="C28" s="85" t="str">
        <f>'SABANA 1 SUMATORIA'!C28</f>
        <v>PEREIRA CASTRO</v>
      </c>
      <c r="D28" s="85" t="str">
        <f>'SABANA 1 SUMATORIA'!D28</f>
        <v>SABRINA AURIBEL</v>
      </c>
      <c r="E28" s="88">
        <f>'SABANA 1 SUMATORIA'!E28</f>
        <v>12</v>
      </c>
      <c r="F28" s="87">
        <f>'SABANA 1 SUMATORIA'!F28</f>
        <v>17</v>
      </c>
      <c r="G28" s="87">
        <f>'SABANA 1 SUMATORIA'!G28</f>
        <v>0</v>
      </c>
      <c r="H28" s="43">
        <f t="shared" si="1"/>
        <v>9.6666699999999999</v>
      </c>
      <c r="I28" s="41">
        <f>'SABANA 1 SUMATORIA'!I28</f>
        <v>7</v>
      </c>
      <c r="J28" s="40">
        <f>'SABANA 1 SUMATORIA'!J28</f>
        <v>15</v>
      </c>
      <c r="K28" s="40">
        <f>'SABANA 1 SUMATORIA'!K28</f>
        <v>0</v>
      </c>
      <c r="L28" s="43">
        <f t="shared" si="2"/>
        <v>7.3333300000000001</v>
      </c>
      <c r="M28" s="42">
        <f>'SABANA 1 SUMATORIA'!M28</f>
        <v>15</v>
      </c>
      <c r="N28" s="40">
        <f>'SABANA 1 SUMATORIA'!N28</f>
        <v>15</v>
      </c>
      <c r="O28" s="40">
        <f>'SABANA 1 SUMATORIA'!O28</f>
        <v>0</v>
      </c>
      <c r="P28" s="43">
        <f t="shared" si="3"/>
        <v>10</v>
      </c>
      <c r="Q28" s="41">
        <f>'SABANA 1 SUMATORIA'!Q28</f>
        <v>18</v>
      </c>
      <c r="R28" s="40">
        <f>'SABANA 1 SUMATORIA'!R28</f>
        <v>18</v>
      </c>
      <c r="S28" s="40">
        <f>'SABANA 1 SUMATORIA'!S28</f>
        <v>0</v>
      </c>
      <c r="T28" s="43">
        <f t="shared" si="4"/>
        <v>12</v>
      </c>
      <c r="U28" s="42">
        <f>'SABANA 1 SUMATORIA'!U28</f>
        <v>14</v>
      </c>
      <c r="V28" s="40">
        <f>'SABANA 1 SUMATORIA'!V28</f>
        <v>15</v>
      </c>
      <c r="W28" s="40">
        <f>'SABANA 1 SUMATORIA'!W28</f>
        <v>0</v>
      </c>
      <c r="X28" s="43">
        <f t="shared" si="5"/>
        <v>9.6666699999999999</v>
      </c>
      <c r="Y28" s="41">
        <f>'SABANA 1 SUMATORIA'!Y28</f>
        <v>18</v>
      </c>
      <c r="Z28" s="40">
        <f>'SABANA 1 SUMATORIA'!Z28</f>
        <v>15</v>
      </c>
      <c r="AA28" s="40">
        <f>'SABANA 1 SUMATORIA'!AA28</f>
        <v>0</v>
      </c>
      <c r="AB28" s="43">
        <f t="shared" si="6"/>
        <v>11</v>
      </c>
      <c r="AC28" s="42">
        <f>'SABANA 1 SUMATORIA'!AC28</f>
        <v>14</v>
      </c>
      <c r="AD28" s="40">
        <f>'SABANA 1 SUMATORIA'!AD28</f>
        <v>12</v>
      </c>
      <c r="AE28" s="40">
        <f>'SABANA 1 SUMATORIA'!AE28</f>
        <v>0</v>
      </c>
      <c r="AF28" s="43">
        <f t="shared" si="7"/>
        <v>8.6666699999999999</v>
      </c>
      <c r="AG28" s="41">
        <f>'SABANA 1 SUMATORIA'!AG28</f>
        <v>12</v>
      </c>
      <c r="AH28" s="40">
        <f>'SABANA 1 SUMATORIA'!AH28</f>
        <v>13</v>
      </c>
      <c r="AI28" s="40">
        <f>'SABANA 1 SUMATORIA'!AI28</f>
        <v>0</v>
      </c>
      <c r="AJ28" s="43">
        <f t="shared" si="8"/>
        <v>8.3333300000000001</v>
      </c>
      <c r="AK28" s="42">
        <f>'SABANA 1 SUMATORIA'!AK28</f>
        <v>12</v>
      </c>
      <c r="AL28" s="40">
        <f>'SABANA 1 SUMATORIA'!AL28</f>
        <v>18</v>
      </c>
      <c r="AM28" s="40">
        <f>'SABANA 1 SUMATORIA'!AM28</f>
        <v>0</v>
      </c>
      <c r="AN28" s="44">
        <f t="shared" si="9"/>
        <v>10</v>
      </c>
      <c r="AO28" s="46">
        <f t="shared" si="10"/>
        <v>9.6296299999999988</v>
      </c>
      <c r="AP28" s="5"/>
      <c r="AQ28" s="5"/>
      <c r="AR28" s="8"/>
    </row>
    <row r="29" spans="1:44" ht="20.100000000000001" customHeight="1">
      <c r="A29" s="23">
        <f t="shared" si="0"/>
        <v>20</v>
      </c>
      <c r="B29" s="33" t="s">
        <v>72</v>
      </c>
      <c r="C29" s="85" t="str">
        <f>'SABANA 1 SUMATORIA'!C29</f>
        <v>CORREA REQUENA</v>
      </c>
      <c r="D29" s="85" t="str">
        <f>'SABANA 1 SUMATORIA'!D29</f>
        <v>MARIA DE JESUS</v>
      </c>
      <c r="E29" s="88">
        <f>'SABANA 1 SUMATORIA'!E29</f>
        <v>12</v>
      </c>
      <c r="F29" s="87">
        <f>'SABANA 1 SUMATORIA'!F29</f>
        <v>19</v>
      </c>
      <c r="G29" s="87">
        <f>'SABANA 1 SUMATORIA'!G29</f>
        <v>0</v>
      </c>
      <c r="H29" s="43">
        <f t="shared" si="1"/>
        <v>10.33333</v>
      </c>
      <c r="I29" s="41">
        <f>'SABANA 1 SUMATORIA'!I29</f>
        <v>13</v>
      </c>
      <c r="J29" s="40">
        <f>'SABANA 1 SUMATORIA'!J29</f>
        <v>20</v>
      </c>
      <c r="K29" s="40">
        <f>'SABANA 1 SUMATORIA'!K29</f>
        <v>0</v>
      </c>
      <c r="L29" s="43">
        <f t="shared" si="2"/>
        <v>11</v>
      </c>
      <c r="M29" s="42">
        <f>'SABANA 1 SUMATORIA'!M29</f>
        <v>17</v>
      </c>
      <c r="N29" s="40">
        <f>'SABANA 1 SUMATORIA'!N29</f>
        <v>18</v>
      </c>
      <c r="O29" s="40">
        <f>'SABANA 1 SUMATORIA'!O29</f>
        <v>0</v>
      </c>
      <c r="P29" s="43">
        <f t="shared" si="3"/>
        <v>11.66667</v>
      </c>
      <c r="Q29" s="41">
        <f>'SABANA 1 SUMATORIA'!Q29</f>
        <v>17</v>
      </c>
      <c r="R29" s="40">
        <f>'SABANA 1 SUMATORIA'!R29</f>
        <v>20</v>
      </c>
      <c r="S29" s="40">
        <f>'SABANA 1 SUMATORIA'!S29</f>
        <v>0</v>
      </c>
      <c r="T29" s="43">
        <f t="shared" si="4"/>
        <v>12.33333</v>
      </c>
      <c r="U29" s="42">
        <f>'SABANA 1 SUMATORIA'!U29</f>
        <v>18</v>
      </c>
      <c r="V29" s="40">
        <f>'SABANA 1 SUMATORIA'!V29</f>
        <v>20</v>
      </c>
      <c r="W29" s="40">
        <f>'SABANA 1 SUMATORIA'!W29</f>
        <v>0</v>
      </c>
      <c r="X29" s="43">
        <f t="shared" si="5"/>
        <v>12.66667</v>
      </c>
      <c r="Y29" s="41">
        <f>'SABANA 1 SUMATORIA'!Y29</f>
        <v>18</v>
      </c>
      <c r="Z29" s="40">
        <f>'SABANA 1 SUMATORIA'!Z29</f>
        <v>19</v>
      </c>
      <c r="AA29" s="40">
        <f>'SABANA 1 SUMATORIA'!AA29</f>
        <v>0</v>
      </c>
      <c r="AB29" s="43">
        <f t="shared" si="6"/>
        <v>12.33333</v>
      </c>
      <c r="AC29" s="42">
        <f>'SABANA 1 SUMATORIA'!AC29</f>
        <v>18</v>
      </c>
      <c r="AD29" s="40">
        <f>'SABANA 1 SUMATORIA'!AD29</f>
        <v>18</v>
      </c>
      <c r="AE29" s="40">
        <f>'SABANA 1 SUMATORIA'!AE29</f>
        <v>0</v>
      </c>
      <c r="AF29" s="43">
        <f t="shared" si="7"/>
        <v>12</v>
      </c>
      <c r="AG29" s="41">
        <f>'SABANA 1 SUMATORIA'!AG29</f>
        <v>18</v>
      </c>
      <c r="AH29" s="40">
        <f>'SABANA 1 SUMATORIA'!AH29</f>
        <v>18</v>
      </c>
      <c r="AI29" s="40">
        <f>'SABANA 1 SUMATORIA'!AI29</f>
        <v>0</v>
      </c>
      <c r="AJ29" s="43">
        <f t="shared" si="8"/>
        <v>12</v>
      </c>
      <c r="AK29" s="42">
        <f>'SABANA 1 SUMATORIA'!AK29</f>
        <v>18</v>
      </c>
      <c r="AL29" s="40">
        <f>'SABANA 1 SUMATORIA'!AL29</f>
        <v>19</v>
      </c>
      <c r="AM29" s="40">
        <f>'SABANA 1 SUMATORIA'!AM29</f>
        <v>0</v>
      </c>
      <c r="AN29" s="44">
        <f t="shared" si="9"/>
        <v>12.33333</v>
      </c>
      <c r="AO29" s="46">
        <f t="shared" si="10"/>
        <v>11.851851111111111</v>
      </c>
      <c r="AP29" s="5"/>
      <c r="AQ29" s="5"/>
      <c r="AR29" s="8"/>
    </row>
    <row r="30" spans="1:44" ht="20.100000000000001" customHeight="1">
      <c r="A30" s="23">
        <f t="shared" si="0"/>
        <v>21</v>
      </c>
      <c r="B30" s="84" t="str">
        <f>'SABANA 1 SUMATORIA'!B30</f>
        <v>CE 11327044492</v>
      </c>
      <c r="C30" s="85" t="str">
        <f>'SABANA 1 SUMATORIA'!C30</f>
        <v>MALDONADO URRETA</v>
      </c>
      <c r="D30" s="85" t="str">
        <f>'SABANA 1 SUMATORIA'!D30</f>
        <v>MIGUEL</v>
      </c>
      <c r="E30" s="88">
        <f>'SABANA 1 SUMATORIA'!E30</f>
        <v>16</v>
      </c>
      <c r="F30" s="87">
        <f>'SABANA 1 SUMATORIA'!F30</f>
        <v>14</v>
      </c>
      <c r="G30" s="87">
        <f>'SABANA 1 SUMATORIA'!G30</f>
        <v>0</v>
      </c>
      <c r="H30" s="43">
        <f t="shared" si="1"/>
        <v>10</v>
      </c>
      <c r="I30" s="41">
        <f>'SABANA 1 SUMATORIA'!I30</f>
        <v>16</v>
      </c>
      <c r="J30" s="40">
        <f>'SABANA 1 SUMATORIA'!J30</f>
        <v>13</v>
      </c>
      <c r="K30" s="40">
        <f>'SABANA 1 SUMATORIA'!K30</f>
        <v>0</v>
      </c>
      <c r="L30" s="43">
        <f t="shared" si="2"/>
        <v>9.6666699999999999</v>
      </c>
      <c r="M30" s="42">
        <f>'SABANA 1 SUMATORIA'!M30</f>
        <v>16</v>
      </c>
      <c r="N30" s="40">
        <f>'SABANA 1 SUMATORIA'!N30</f>
        <v>15</v>
      </c>
      <c r="O30" s="40">
        <f>'SABANA 1 SUMATORIA'!O30</f>
        <v>0</v>
      </c>
      <c r="P30" s="43">
        <f t="shared" si="3"/>
        <v>10.33333</v>
      </c>
      <c r="Q30" s="41">
        <f>'SABANA 1 SUMATORIA'!Q30</f>
        <v>16</v>
      </c>
      <c r="R30" s="40">
        <f>'SABANA 1 SUMATORIA'!R30</f>
        <v>17</v>
      </c>
      <c r="S30" s="40">
        <f>'SABANA 1 SUMATORIA'!S30</f>
        <v>0</v>
      </c>
      <c r="T30" s="43">
        <f t="shared" si="4"/>
        <v>11</v>
      </c>
      <c r="U30" s="42">
        <f>'SABANA 1 SUMATORIA'!U30</f>
        <v>16</v>
      </c>
      <c r="V30" s="40">
        <f>'SABANA 1 SUMATORIA'!V30</f>
        <v>18</v>
      </c>
      <c r="W30" s="40">
        <f>'SABANA 1 SUMATORIA'!W30</f>
        <v>0</v>
      </c>
      <c r="X30" s="43">
        <f t="shared" si="5"/>
        <v>11.33333</v>
      </c>
      <c r="Y30" s="41">
        <f>'SABANA 1 SUMATORIA'!Y30</f>
        <v>16</v>
      </c>
      <c r="Z30" s="40">
        <f>'SABANA 1 SUMATORIA'!Z30</f>
        <v>15</v>
      </c>
      <c r="AA30" s="40">
        <f>'SABANA 1 SUMATORIA'!AA30</f>
        <v>0</v>
      </c>
      <c r="AB30" s="43">
        <f t="shared" si="6"/>
        <v>10.33333</v>
      </c>
      <c r="AC30" s="42">
        <f>'SABANA 1 SUMATORIA'!AC30</f>
        <v>16</v>
      </c>
      <c r="AD30" s="40">
        <f>'SABANA 1 SUMATORIA'!AD30</f>
        <v>13</v>
      </c>
      <c r="AE30" s="40">
        <f>'SABANA 1 SUMATORIA'!AE30</f>
        <v>0</v>
      </c>
      <c r="AF30" s="43">
        <f t="shared" si="7"/>
        <v>9.6666699999999999</v>
      </c>
      <c r="AG30" s="41">
        <f>'SABANA 1 SUMATORIA'!AG30</f>
        <v>16</v>
      </c>
      <c r="AH30" s="40">
        <f>'SABANA 1 SUMATORIA'!AH30</f>
        <v>18</v>
      </c>
      <c r="AI30" s="40">
        <f>'SABANA 1 SUMATORIA'!AI30</f>
        <v>0</v>
      </c>
      <c r="AJ30" s="43">
        <f t="shared" si="8"/>
        <v>11.33333</v>
      </c>
      <c r="AK30" s="42">
        <f>'SABANA 1 SUMATORIA'!AK30</f>
        <v>16</v>
      </c>
      <c r="AL30" s="40">
        <f>'SABANA 1 SUMATORIA'!AL30</f>
        <v>19</v>
      </c>
      <c r="AM30" s="40">
        <f>'SABANA 1 SUMATORIA'!AM30</f>
        <v>0</v>
      </c>
      <c r="AN30" s="44">
        <f t="shared" si="9"/>
        <v>11.66667</v>
      </c>
      <c r="AO30" s="46">
        <f t="shared" si="10"/>
        <v>10.592592222222223</v>
      </c>
      <c r="AP30" s="5"/>
      <c r="AQ30" s="5"/>
      <c r="AR30" s="8"/>
    </row>
    <row r="31" spans="1:44" ht="20.100000000000001" customHeight="1">
      <c r="A31" s="23">
        <f t="shared" si="0"/>
        <v>22</v>
      </c>
      <c r="B31" s="84"/>
      <c r="C31" s="85"/>
      <c r="D31" s="85"/>
      <c r="E31" s="88">
        <f>'SABANA 1 SUMATORIA'!E31</f>
        <v>0</v>
      </c>
      <c r="F31" s="87">
        <f>'SABANA 1 SUMATORIA'!F31</f>
        <v>0</v>
      </c>
      <c r="G31" s="87">
        <f>'SABANA 1 SUMATORIA'!G31</f>
        <v>0</v>
      </c>
      <c r="H31" s="43">
        <f t="shared" si="1"/>
        <v>0</v>
      </c>
      <c r="I31" s="41">
        <f>'SABANA 1 SUMATORIA'!I31</f>
        <v>0</v>
      </c>
      <c r="J31" s="40">
        <f>'SABANA 1 SUMATORIA'!J31</f>
        <v>0</v>
      </c>
      <c r="K31" s="40">
        <f>'SABANA 1 SUMATORIA'!K31</f>
        <v>0</v>
      </c>
      <c r="L31" s="43">
        <f t="shared" si="2"/>
        <v>0</v>
      </c>
      <c r="M31" s="42">
        <f>'SABANA 1 SUMATORIA'!M31</f>
        <v>0</v>
      </c>
      <c r="N31" s="40">
        <f>'SABANA 1 SUMATORIA'!N31</f>
        <v>0</v>
      </c>
      <c r="O31" s="40">
        <f>'SABANA 1 SUMATORIA'!O31</f>
        <v>0</v>
      </c>
      <c r="P31" s="43">
        <f t="shared" si="3"/>
        <v>0</v>
      </c>
      <c r="Q31" s="41">
        <f>'SABANA 1 SUMATORIA'!Q31</f>
        <v>0</v>
      </c>
      <c r="R31" s="40">
        <f>'SABANA 1 SUMATORIA'!R31</f>
        <v>0</v>
      </c>
      <c r="S31" s="40">
        <f>'SABANA 1 SUMATORIA'!S31</f>
        <v>0</v>
      </c>
      <c r="T31" s="43">
        <f t="shared" si="4"/>
        <v>0</v>
      </c>
      <c r="U31" s="42">
        <f>'SABANA 1 SUMATORIA'!U31</f>
        <v>0</v>
      </c>
      <c r="V31" s="40">
        <f>'SABANA 1 SUMATORIA'!V31</f>
        <v>0</v>
      </c>
      <c r="W31" s="40">
        <f>'SABANA 1 SUMATORIA'!W31</f>
        <v>0</v>
      </c>
      <c r="X31" s="43">
        <f t="shared" si="5"/>
        <v>0</v>
      </c>
      <c r="Y31" s="41">
        <f>'SABANA 1 SUMATORIA'!Y31</f>
        <v>0</v>
      </c>
      <c r="Z31" s="40">
        <f>'SABANA 1 SUMATORIA'!Z31</f>
        <v>0</v>
      </c>
      <c r="AA31" s="40">
        <f>'SABANA 1 SUMATORIA'!AA31</f>
        <v>0</v>
      </c>
      <c r="AB31" s="43">
        <f t="shared" si="6"/>
        <v>0</v>
      </c>
      <c r="AC31" s="42">
        <f>'SABANA 1 SUMATORIA'!AC31</f>
        <v>0</v>
      </c>
      <c r="AD31" s="40">
        <f>'SABANA 1 SUMATORIA'!AD31</f>
        <v>0</v>
      </c>
      <c r="AE31" s="40">
        <f>'SABANA 1 SUMATORIA'!AE31</f>
        <v>0</v>
      </c>
      <c r="AF31" s="43">
        <f t="shared" si="7"/>
        <v>0</v>
      </c>
      <c r="AG31" s="41">
        <f>'SABANA 1 SUMATORIA'!AG31</f>
        <v>0</v>
      </c>
      <c r="AH31" s="40">
        <f>'SABANA 1 SUMATORIA'!AH31</f>
        <v>0</v>
      </c>
      <c r="AI31" s="40">
        <f>'SABANA 1 SUMATORIA'!AI31</f>
        <v>0</v>
      </c>
      <c r="AJ31" s="43">
        <f t="shared" si="8"/>
        <v>0</v>
      </c>
      <c r="AK31" s="42">
        <f>'SABANA 1 SUMATORIA'!AK31</f>
        <v>0</v>
      </c>
      <c r="AL31" s="40">
        <f>'SABANA 1 SUMATORIA'!AL31</f>
        <v>0</v>
      </c>
      <c r="AM31" s="40">
        <f>'SABANA 1 SUMATORIA'!AM31</f>
        <v>0</v>
      </c>
      <c r="AN31" s="44">
        <f t="shared" si="9"/>
        <v>0</v>
      </c>
      <c r="AO31" s="46">
        <f t="shared" si="10"/>
        <v>0</v>
      </c>
      <c r="AP31" s="5"/>
      <c r="AQ31" s="5"/>
      <c r="AR31" s="8"/>
    </row>
    <row r="32" spans="1:44" ht="20.100000000000001" customHeight="1">
      <c r="A32" s="23">
        <f t="shared" si="0"/>
        <v>23</v>
      </c>
      <c r="B32" s="84"/>
      <c r="C32" s="85"/>
      <c r="D32" s="85"/>
      <c r="E32" s="88">
        <f>'SABANA 1 SUMATORIA'!E32</f>
        <v>0</v>
      </c>
      <c r="F32" s="87">
        <f>'SABANA 1 SUMATORIA'!F32</f>
        <v>0</v>
      </c>
      <c r="G32" s="87">
        <f>'SABANA 1 SUMATORIA'!G32</f>
        <v>0</v>
      </c>
      <c r="H32" s="43">
        <f t="shared" si="1"/>
        <v>0</v>
      </c>
      <c r="I32" s="41">
        <f>'SABANA 1 SUMATORIA'!I32</f>
        <v>0</v>
      </c>
      <c r="J32" s="40">
        <f>'SABANA 1 SUMATORIA'!J32</f>
        <v>0</v>
      </c>
      <c r="K32" s="40">
        <f>'SABANA 1 SUMATORIA'!K32</f>
        <v>0</v>
      </c>
      <c r="L32" s="43">
        <f t="shared" si="2"/>
        <v>0</v>
      </c>
      <c r="M32" s="42">
        <f>'SABANA 1 SUMATORIA'!M32</f>
        <v>0</v>
      </c>
      <c r="N32" s="40">
        <f>'SABANA 1 SUMATORIA'!N32</f>
        <v>0</v>
      </c>
      <c r="O32" s="40">
        <f>'SABANA 1 SUMATORIA'!O32</f>
        <v>0</v>
      </c>
      <c r="P32" s="43">
        <f t="shared" si="3"/>
        <v>0</v>
      </c>
      <c r="Q32" s="41">
        <f>'SABANA 1 SUMATORIA'!Q32</f>
        <v>0</v>
      </c>
      <c r="R32" s="40">
        <f>'SABANA 1 SUMATORIA'!R32</f>
        <v>0</v>
      </c>
      <c r="S32" s="40">
        <f>'SABANA 1 SUMATORIA'!S32</f>
        <v>0</v>
      </c>
      <c r="T32" s="43">
        <f t="shared" si="4"/>
        <v>0</v>
      </c>
      <c r="U32" s="42">
        <f>'SABANA 1 SUMATORIA'!U32</f>
        <v>0</v>
      </c>
      <c r="V32" s="40">
        <f>'SABANA 1 SUMATORIA'!V32</f>
        <v>0</v>
      </c>
      <c r="W32" s="40">
        <f>'SABANA 1 SUMATORIA'!W32</f>
        <v>0</v>
      </c>
      <c r="X32" s="43">
        <f t="shared" si="5"/>
        <v>0</v>
      </c>
      <c r="Y32" s="41">
        <f>'SABANA 1 SUMATORIA'!Y32</f>
        <v>0</v>
      </c>
      <c r="Z32" s="40">
        <f>'SABANA 1 SUMATORIA'!Z32</f>
        <v>0</v>
      </c>
      <c r="AA32" s="40">
        <f>'SABANA 1 SUMATORIA'!AA32</f>
        <v>0</v>
      </c>
      <c r="AB32" s="43">
        <f t="shared" si="6"/>
        <v>0</v>
      </c>
      <c r="AC32" s="42">
        <f>'SABANA 1 SUMATORIA'!AC32</f>
        <v>0</v>
      </c>
      <c r="AD32" s="40">
        <f>'SABANA 1 SUMATORIA'!AD32</f>
        <v>0</v>
      </c>
      <c r="AE32" s="40">
        <f>'SABANA 1 SUMATORIA'!AE32</f>
        <v>0</v>
      </c>
      <c r="AF32" s="43">
        <f t="shared" si="7"/>
        <v>0</v>
      </c>
      <c r="AG32" s="41">
        <f>'SABANA 1 SUMATORIA'!AG32</f>
        <v>0</v>
      </c>
      <c r="AH32" s="40">
        <f>'SABANA 1 SUMATORIA'!AH32</f>
        <v>0</v>
      </c>
      <c r="AI32" s="40">
        <f>'SABANA 1 SUMATORIA'!AI32</f>
        <v>0</v>
      </c>
      <c r="AJ32" s="43">
        <f t="shared" si="8"/>
        <v>0</v>
      </c>
      <c r="AK32" s="42">
        <f>'SABANA 1 SUMATORIA'!AK32</f>
        <v>0</v>
      </c>
      <c r="AL32" s="40">
        <f>'SABANA 1 SUMATORIA'!AL32</f>
        <v>0</v>
      </c>
      <c r="AM32" s="40">
        <f>'SABANA 1 SUMATORIA'!AM32</f>
        <v>0</v>
      </c>
      <c r="AN32" s="44">
        <f t="shared" si="9"/>
        <v>0</v>
      </c>
      <c r="AO32" s="46">
        <f t="shared" si="10"/>
        <v>0</v>
      </c>
      <c r="AP32" s="5"/>
      <c r="AQ32" s="5"/>
      <c r="AR32" s="8"/>
    </row>
    <row r="33" spans="1:41" ht="15" customHeight="1">
      <c r="A33" s="12"/>
      <c r="B33" s="60" t="s">
        <v>75</v>
      </c>
      <c r="C33" s="60"/>
      <c r="D33" s="60"/>
      <c r="E33" s="26"/>
      <c r="F33" s="26"/>
      <c r="G33" s="60" t="s">
        <v>71</v>
      </c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26"/>
      <c r="U33" s="12"/>
      <c r="V33" s="60" t="str">
        <f>E6</f>
        <v xml:space="preserve">     MARIELSY CARMONA</v>
      </c>
      <c r="W33" s="60"/>
      <c r="X33" s="60"/>
      <c r="Y33" s="60"/>
      <c r="Z33" s="60"/>
      <c r="AA33" s="60"/>
      <c r="AB33" s="60"/>
      <c r="AC33" s="60"/>
      <c r="AD33" s="60"/>
      <c r="AE33" s="60"/>
      <c r="AF33" s="27"/>
      <c r="AG33" s="27"/>
      <c r="AH33" s="27"/>
      <c r="AI33" s="27"/>
      <c r="AJ33" s="28"/>
      <c r="AK33" s="29"/>
      <c r="AL33" s="29"/>
      <c r="AM33" s="30"/>
      <c r="AN33" s="31" t="s">
        <v>19</v>
      </c>
      <c r="AO33" s="5"/>
    </row>
    <row r="34" spans="1:41" ht="15" customHeight="1">
      <c r="A34" s="60" t="s">
        <v>8</v>
      </c>
      <c r="B34" s="60"/>
      <c r="C34" s="60"/>
      <c r="D34" s="60"/>
      <c r="E34" s="47"/>
      <c r="F34" s="47"/>
      <c r="G34" s="66" t="s">
        <v>9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27"/>
      <c r="V34" s="27"/>
      <c r="W34" s="60" t="s">
        <v>10</v>
      </c>
      <c r="X34" s="60"/>
      <c r="Y34" s="60"/>
      <c r="Z34" s="60"/>
      <c r="AA34" s="60"/>
      <c r="AB34" s="60"/>
      <c r="AC34" s="60"/>
      <c r="AD34" s="60"/>
      <c r="AE34" s="60"/>
      <c r="AF34" s="27"/>
      <c r="AG34" s="27"/>
      <c r="AH34" s="27"/>
      <c r="AI34" s="63">
        <f ca="1">NOW()</f>
        <v>46188.397739583335</v>
      </c>
      <c r="AJ34" s="63"/>
      <c r="AK34" s="63"/>
      <c r="AL34" s="63"/>
      <c r="AM34" s="63"/>
      <c r="AN34" s="63"/>
      <c r="AO34" s="5"/>
    </row>
    <row r="35" spans="1:4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27"/>
      <c r="AK35" s="27"/>
      <c r="AL35" s="27"/>
      <c r="AM35" s="27"/>
      <c r="AN35" s="31"/>
    </row>
  </sheetData>
  <sheetProtection sheet="1" objects="1" scenarios="1"/>
  <mergeCells count="35">
    <mergeCell ref="A1:D1"/>
    <mergeCell ref="A4:AN4"/>
    <mergeCell ref="C8:C9"/>
    <mergeCell ref="B8:B9"/>
    <mergeCell ref="Q8:T8"/>
    <mergeCell ref="Y8:AB8"/>
    <mergeCell ref="U8:X8"/>
    <mergeCell ref="AC8:AF8"/>
    <mergeCell ref="A2:D2"/>
    <mergeCell ref="A3:D3"/>
    <mergeCell ref="I8:L8"/>
    <mergeCell ref="A6:D6"/>
    <mergeCell ref="AG8:AJ8"/>
    <mergeCell ref="D8:D9"/>
    <mergeCell ref="AG7:AJ7"/>
    <mergeCell ref="AK8:AN8"/>
    <mergeCell ref="A34:D34"/>
    <mergeCell ref="A8:A9"/>
    <mergeCell ref="B33:D33"/>
    <mergeCell ref="V33:AE33"/>
    <mergeCell ref="E7:H7"/>
    <mergeCell ref="I7:L7"/>
    <mergeCell ref="M7:P7"/>
    <mergeCell ref="Q7:T7"/>
    <mergeCell ref="U7:X7"/>
    <mergeCell ref="Y7:AB7"/>
    <mergeCell ref="AC7:AF7"/>
    <mergeCell ref="G34:T34"/>
    <mergeCell ref="W34:AE34"/>
    <mergeCell ref="AI34:AN34"/>
    <mergeCell ref="E6:AA6"/>
    <mergeCell ref="M8:P8"/>
    <mergeCell ref="E8:H8"/>
    <mergeCell ref="G33:S33"/>
    <mergeCell ref="AK7:AN7"/>
  </mergeCells>
  <printOptions horizontalCentered="1" verticalCentered="1"/>
  <pageMargins left="0" right="0" top="0" bottom="0.19685039370078741" header="0.51181102362204722" footer="0.51181102362204722"/>
  <pageSetup paperSize="5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SABANA 1 SUMATORIA</vt:lpstr>
      <vt:lpstr>SABANA 2 DEFINITIVA</vt:lpstr>
      <vt:lpstr>'SABANA 1 SUMATORIA'!Área_de_impresión</vt:lpstr>
      <vt:lpstr>'SABANA 2 DEFINITIVA'!Área_de_impresión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User</cp:lastModifiedBy>
  <cp:lastPrinted>2024-05-10T14:01:27Z</cp:lastPrinted>
  <dcterms:created xsi:type="dcterms:W3CDTF">2023-05-17T17:11:54Z</dcterms:created>
  <dcterms:modified xsi:type="dcterms:W3CDTF">2026-06-15T13:32:50Z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d2a284961a094ce0abfa4ec6dd70f6f5</vt:lpwstr>
  </property>
</Properties>
</file>