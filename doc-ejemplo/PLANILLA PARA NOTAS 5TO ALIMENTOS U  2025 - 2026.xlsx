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0" yWindow="0" windowWidth="19200" windowHeight="6645"/>
  </bookViews>
  <sheets>
    <sheet name="5° AÑO ALIMENTO U" sheetId="6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" i="6"/>
  <c r="R12"/>
  <c r="R13"/>
  <c r="R14"/>
  <c r="R15"/>
  <c r="Q12"/>
  <c r="Q13"/>
  <c r="Q14"/>
  <c r="Q15"/>
  <c r="Q11"/>
  <c r="R10"/>
  <c r="Q10"/>
  <c r="Q9"/>
  <c r="O9"/>
  <c r="M9"/>
  <c r="K9"/>
  <c r="I9"/>
  <c r="G9"/>
  <c r="E9"/>
  <c r="F10" l="1"/>
  <c r="P11" l="1"/>
  <c r="P12"/>
  <c r="P13"/>
  <c r="P14"/>
  <c r="P15"/>
  <c r="N11"/>
  <c r="N12"/>
  <c r="N13"/>
  <c r="N14"/>
  <c r="N15"/>
  <c r="L11"/>
  <c r="L12"/>
  <c r="L13"/>
  <c r="L14"/>
  <c r="L15"/>
  <c r="J11"/>
  <c r="J12"/>
  <c r="J13"/>
  <c r="J14"/>
  <c r="J15"/>
  <c r="H11"/>
  <c r="H12"/>
  <c r="H13"/>
  <c r="H14"/>
  <c r="H15"/>
  <c r="P10"/>
  <c r="N10"/>
  <c r="L10"/>
  <c r="J10"/>
  <c r="H10"/>
  <c r="F11"/>
  <c r="F12"/>
  <c r="F13"/>
  <c r="F14"/>
  <c r="F15"/>
  <c r="O22" l="1"/>
</calcChain>
</file>

<file path=xl/sharedStrings.xml><?xml version="1.0" encoding="utf-8"?>
<sst xmlns="http://schemas.openxmlformats.org/spreadsheetml/2006/main" count="46" uniqueCount="46">
  <si>
    <t>Henry Pitter</t>
  </si>
  <si>
    <t>Nº</t>
  </si>
  <si>
    <t xml:space="preserve">      AÑO:</t>
  </si>
  <si>
    <t>Mención:</t>
  </si>
  <si>
    <t>COORDINADORA DE EVALUACIÓN</t>
  </si>
  <si>
    <t>MSC. CARMEN CABEZA</t>
  </si>
  <si>
    <t>PROFESOR DEL ÁRE DE FORMACION</t>
  </si>
  <si>
    <t>Sección:</t>
  </si>
  <si>
    <t>C.I V-14.056.594</t>
  </si>
  <si>
    <t>_______________________</t>
  </si>
  <si>
    <t>Cédula de Identidad:</t>
  </si>
  <si>
    <t>El Socorro Estado Guárico</t>
  </si>
  <si>
    <t>Escuela Técnica Agropecuaria</t>
  </si>
  <si>
    <t xml:space="preserve">Area de Formación: </t>
  </si>
  <si>
    <t>Total %</t>
  </si>
  <si>
    <t>CEDULA</t>
  </si>
  <si>
    <t>FECHA</t>
  </si>
  <si>
    <t>INSTRUMENTO</t>
  </si>
  <si>
    <t>TECNICA</t>
  </si>
  <si>
    <t>TEMA GENERADOR</t>
  </si>
  <si>
    <t>Año Escolar: 2025-2026</t>
  </si>
  <si>
    <t>APELLIDOS</t>
  </si>
  <si>
    <t>NOMBRES</t>
  </si>
  <si>
    <t>FECHA Y HORA DE IMPRESIÓN:</t>
  </si>
  <si>
    <r>
      <t xml:space="preserve"> </t>
    </r>
    <r>
      <rPr>
        <sz val="12"/>
        <color theme="1"/>
        <rFont val="Times New Roman"/>
        <family val="1"/>
      </rPr>
      <t xml:space="preserve">       Profesor:</t>
    </r>
  </si>
  <si>
    <t>ASCANIO RAMIREZ</t>
  </si>
  <si>
    <t>ALBORNOZ PEREZ</t>
  </si>
  <si>
    <t>ALCALA VELASQUEZ</t>
  </si>
  <si>
    <t>DANIEL ENRIQUE</t>
  </si>
  <si>
    <t>V 32.845.356</t>
  </si>
  <si>
    <t>PEREZ GONZALEZ</t>
  </si>
  <si>
    <t>JUSMELYANGEL ANAIZ</t>
  </si>
  <si>
    <t>ORTEGA RUIZ</t>
  </si>
  <si>
    <t>LUCIA ESMERALDA</t>
  </si>
  <si>
    <t>LARA RODRIGUEZ</t>
  </si>
  <si>
    <t>MARIA JOSE</t>
  </si>
  <si>
    <t>V 33.571.139</t>
  </si>
  <si>
    <t>SINAI MAYERLIN</t>
  </si>
  <si>
    <t>KEYLIS MARIA</t>
  </si>
  <si>
    <t>5TO</t>
  </si>
  <si>
    <t>TECNOLOGIA DE LOS ALIMENTOS</t>
  </si>
  <si>
    <t>ALIM. U</t>
  </si>
  <si>
    <t>ACTUACION DEL ALUMNO</t>
  </si>
  <si>
    <t>3ER MOMENTO</t>
  </si>
  <si>
    <t xml:space="preserve"> Def .</t>
  </si>
  <si>
    <t>CALIF</t>
  </si>
</sst>
</file>

<file path=xl/styles.xml><?xml version="1.0" encoding="utf-8"?>
<styleSheet xmlns="http://schemas.openxmlformats.org/spreadsheetml/2006/main">
  <numFmts count="2">
    <numFmt numFmtId="164" formatCode="\V\ 00,000,000"/>
    <numFmt numFmtId="165" formatCode="0#"/>
  </numFmts>
  <fonts count="16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9"/>
      <name val="Times New Roman"/>
      <family val="1"/>
    </font>
    <font>
      <sz val="11"/>
      <name val="Calibri"/>
      <family val="2"/>
      <scheme val="minor"/>
    </font>
    <font>
      <b/>
      <sz val="9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3" borderId="2" xfId="0" applyFill="1" applyBorder="1" applyAlignment="1">
      <alignment horizontal="center"/>
    </xf>
    <xf numFmtId="0" fontId="6" fillId="0" borderId="0" xfId="0" applyFont="1"/>
    <xf numFmtId="0" fontId="6" fillId="0" borderId="0" xfId="0" applyFont="1" applyAlignment="1" applyProtection="1">
      <alignment vertical="center" wrapText="1"/>
      <protection locked="0"/>
    </xf>
    <xf numFmtId="49" fontId="6" fillId="0" borderId="0" xfId="0" applyNumberFormat="1" applyFont="1" applyAlignment="1" applyProtection="1">
      <alignment horizontal="right" vertical="center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vertical="center"/>
      <protection locked="0"/>
    </xf>
    <xf numFmtId="9" fontId="2" fillId="3" borderId="5" xfId="0" applyNumberFormat="1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left" vertical="center" shrinkToFit="1"/>
    </xf>
    <xf numFmtId="0" fontId="11" fillId="0" borderId="1" xfId="0" applyFont="1" applyBorder="1" applyAlignment="1" applyProtection="1">
      <alignment horizontal="left" vertical="center" shrinkToFit="1"/>
      <protection locked="0"/>
    </xf>
    <xf numFmtId="0" fontId="5" fillId="0" borderId="0" xfId="0" applyFont="1" applyProtection="1">
      <protection locked="0"/>
    </xf>
    <xf numFmtId="165" fontId="3" fillId="2" borderId="2" xfId="0" applyNumberFormat="1" applyFont="1" applyFill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left" vertical="center" shrinkToFit="1"/>
    </xf>
    <xf numFmtId="0" fontId="11" fillId="0" borderId="1" xfId="0" applyFont="1" applyBorder="1" applyAlignment="1" applyProtection="1">
      <alignment vertical="center" shrinkToFit="1"/>
    </xf>
    <xf numFmtId="164" fontId="11" fillId="0" borderId="1" xfId="0" applyNumberFormat="1" applyFont="1" applyBorder="1" applyAlignment="1">
      <alignment horizontal="left" vertical="center" shrinkToFit="1"/>
    </xf>
    <xf numFmtId="164" fontId="11" fillId="0" borderId="1" xfId="0" applyNumberFormat="1" applyFont="1" applyBorder="1" applyAlignment="1" applyProtection="1">
      <alignment horizontal="left" vertical="center" shrinkToFit="1"/>
    </xf>
    <xf numFmtId="164" fontId="11" fillId="0" borderId="1" xfId="0" applyNumberFormat="1" applyFont="1" applyBorder="1" applyAlignment="1" applyProtection="1">
      <alignment horizontal="center" vertical="center" shrinkToFit="1"/>
    </xf>
    <xf numFmtId="1" fontId="11" fillId="0" borderId="1" xfId="0" applyNumberFormat="1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left" vertical="center"/>
    </xf>
    <xf numFmtId="164" fontId="11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 applyProtection="1">
      <alignment vertical="center"/>
    </xf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8" xfId="0" applyBorder="1" applyAlignment="1">
      <alignment horizontal="center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 applyProtection="1">
      <alignment horizontal="center"/>
    </xf>
    <xf numFmtId="0" fontId="6" fillId="0" borderId="0" xfId="0" applyFont="1" applyProtection="1"/>
    <xf numFmtId="0" fontId="11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/>
    </xf>
    <xf numFmtId="0" fontId="12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right"/>
    </xf>
    <xf numFmtId="0" fontId="0" fillId="0" borderId="0" xfId="0" applyProtection="1"/>
    <xf numFmtId="0" fontId="10" fillId="0" borderId="6" xfId="0" applyFont="1" applyBorder="1" applyAlignment="1" applyProtection="1">
      <alignment horizontal="right"/>
    </xf>
    <xf numFmtId="0" fontId="7" fillId="0" borderId="6" xfId="0" applyFont="1" applyBorder="1" applyAlignment="1" applyProtection="1">
      <alignment horizontal="right"/>
    </xf>
    <xf numFmtId="0" fontId="10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left"/>
      <protection locked="0"/>
    </xf>
    <xf numFmtId="0" fontId="8" fillId="2" borderId="3" xfId="0" applyFont="1" applyFill="1" applyBorder="1" applyAlignment="1" applyProtection="1">
      <alignment horizontal="center" vertical="center"/>
    </xf>
    <xf numFmtId="9" fontId="4" fillId="3" borderId="4" xfId="0" applyNumberFormat="1" applyFont="1" applyFill="1" applyBorder="1" applyAlignment="1" applyProtection="1">
      <alignment horizontal="center" vertical="center"/>
      <protection locked="0"/>
    </xf>
    <xf numFmtId="9" fontId="2" fillId="3" borderId="4" xfId="0" applyNumberFormat="1" applyFont="1" applyFill="1" applyBorder="1" applyAlignment="1" applyProtection="1">
      <alignment horizontal="center" vertical="center"/>
      <protection locked="0"/>
    </xf>
    <xf numFmtId="9" fontId="14" fillId="0" borderId="1" xfId="0" applyNumberFormat="1" applyFont="1" applyBorder="1" applyAlignment="1" applyProtection="1">
      <alignment horizontal="center" vertical="center" textRotation="90"/>
    </xf>
    <xf numFmtId="0" fontId="15" fillId="0" borderId="1" xfId="0" applyFont="1" applyBorder="1" applyAlignment="1" applyProtection="1">
      <alignment horizontal="center" vertical="center" textRotation="90"/>
    </xf>
    <xf numFmtId="0" fontId="13" fillId="0" borderId="0" xfId="0" applyFont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 textRotation="90"/>
    </xf>
    <xf numFmtId="2" fontId="6" fillId="0" borderId="1" xfId="0" applyNumberFormat="1" applyFont="1" applyBorder="1" applyAlignment="1" applyProtection="1">
      <alignment horizontal="center"/>
    </xf>
    <xf numFmtId="1" fontId="6" fillId="3" borderId="1" xfId="0" applyNumberFormat="1" applyFont="1" applyFill="1" applyBorder="1" applyAlignment="1" applyProtection="1">
      <alignment horizontal="center"/>
    </xf>
    <xf numFmtId="165" fontId="0" fillId="0" borderId="1" xfId="0" applyNumberFormat="1" applyBorder="1" applyAlignment="1" applyProtection="1">
      <alignment horizontal="center"/>
    </xf>
    <xf numFmtId="165" fontId="0" fillId="3" borderId="7" xfId="0" applyNumberForma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S24"/>
  <sheetViews>
    <sheetView tabSelected="1" workbookViewId="0">
      <selection activeCell="O9" activeCellId="5" sqref="E9 G9 I9 K9 M9 O9"/>
    </sheetView>
  </sheetViews>
  <sheetFormatPr baseColWidth="10" defaultRowHeight="15"/>
  <cols>
    <col min="1" max="1" width="3.140625" customWidth="1"/>
    <col min="2" max="2" width="12.42578125" customWidth="1"/>
    <col min="3" max="3" width="21.42578125" customWidth="1"/>
    <col min="4" max="4" width="22.85546875" customWidth="1"/>
    <col min="5" max="5" width="7" customWidth="1"/>
    <col min="6" max="6" width="7.42578125" customWidth="1"/>
    <col min="7" max="7" width="8.42578125" customWidth="1"/>
    <col min="8" max="8" width="7.140625" customWidth="1"/>
    <col min="9" max="9" width="7.85546875" customWidth="1"/>
    <col min="10" max="10" width="7.140625" customWidth="1"/>
    <col min="11" max="11" width="7.42578125" customWidth="1"/>
    <col min="12" max="12" width="7.140625" customWidth="1"/>
    <col min="13" max="13" width="6.5703125" customWidth="1"/>
    <col min="14" max="14" width="6.140625" customWidth="1"/>
    <col min="15" max="15" width="7.140625" customWidth="1"/>
    <col min="16" max="16" width="7.5703125" customWidth="1"/>
    <col min="17" max="17" width="7.140625" customWidth="1"/>
    <col min="18" max="18" width="7" customWidth="1"/>
  </cols>
  <sheetData>
    <row r="1" spans="1:19" ht="15.75">
      <c r="A1" s="12" t="s">
        <v>12</v>
      </c>
      <c r="B1" s="12"/>
      <c r="C1" s="12"/>
      <c r="D1" s="1"/>
      <c r="E1" s="35" t="s">
        <v>20</v>
      </c>
      <c r="F1" s="35"/>
      <c r="G1" s="35"/>
      <c r="H1" s="36"/>
      <c r="I1" s="37" t="s">
        <v>2</v>
      </c>
      <c r="J1" s="38" t="s">
        <v>39</v>
      </c>
      <c r="K1" s="35" t="s">
        <v>3</v>
      </c>
      <c r="L1" s="35"/>
      <c r="M1" s="39" t="s">
        <v>40</v>
      </c>
      <c r="N1" s="39"/>
      <c r="O1" s="39"/>
      <c r="P1" s="39"/>
      <c r="Q1" s="39"/>
      <c r="R1" s="36"/>
    </row>
    <row r="2" spans="1:19" ht="15.75">
      <c r="A2" s="12" t="s">
        <v>0</v>
      </c>
      <c r="B2" s="12"/>
      <c r="C2" s="12"/>
      <c r="D2" s="1"/>
      <c r="E2" s="40" t="s">
        <v>13</v>
      </c>
      <c r="F2" s="40"/>
      <c r="G2" s="40"/>
      <c r="H2" s="32"/>
      <c r="I2" s="32"/>
      <c r="J2" s="32"/>
      <c r="K2" s="32"/>
      <c r="L2" s="32"/>
      <c r="M2" s="32"/>
      <c r="N2" s="32"/>
      <c r="O2" s="36" t="s">
        <v>7</v>
      </c>
      <c r="P2" s="41" t="s">
        <v>41</v>
      </c>
      <c r="Q2" s="41"/>
      <c r="R2" s="36"/>
    </row>
    <row r="3" spans="1:19" ht="15.75">
      <c r="A3" s="12" t="s">
        <v>11</v>
      </c>
      <c r="B3" s="12"/>
      <c r="C3" s="12"/>
      <c r="D3" s="1"/>
      <c r="E3" s="42" t="s">
        <v>24</v>
      </c>
      <c r="F3" s="42"/>
      <c r="G3" s="42"/>
      <c r="H3" s="47"/>
      <c r="I3" s="47"/>
      <c r="J3" s="47"/>
      <c r="K3" s="47"/>
      <c r="L3" s="47"/>
      <c r="M3" s="35" t="s">
        <v>10</v>
      </c>
      <c r="N3" s="35"/>
      <c r="O3" s="35"/>
      <c r="P3" s="47" t="s">
        <v>9</v>
      </c>
      <c r="Q3" s="47"/>
      <c r="R3" s="47"/>
    </row>
    <row r="4" spans="1:19" ht="15.75">
      <c r="A4" s="4"/>
      <c r="B4" s="4"/>
      <c r="C4" s="4"/>
      <c r="D4" s="4"/>
      <c r="E4" s="43"/>
      <c r="F4" s="44" t="s">
        <v>42</v>
      </c>
      <c r="G4" s="44"/>
      <c r="H4" s="45"/>
      <c r="I4" s="45"/>
      <c r="J4" s="45"/>
      <c r="K4" s="45"/>
      <c r="L4" s="45"/>
      <c r="M4" s="45"/>
      <c r="N4" s="45"/>
      <c r="O4" s="46" t="s">
        <v>43</v>
      </c>
      <c r="P4" s="46"/>
      <c r="Q4" s="46"/>
      <c r="R4" s="43"/>
    </row>
    <row r="5" spans="1:19" ht="15" customHeight="1">
      <c r="A5" s="2"/>
      <c r="B5" s="5"/>
      <c r="C5" s="5"/>
      <c r="D5" s="6" t="s">
        <v>19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54" t="s">
        <v>14</v>
      </c>
      <c r="R5" s="43"/>
      <c r="S5" s="43"/>
    </row>
    <row r="6" spans="1:19">
      <c r="A6" s="2"/>
      <c r="B6" s="5"/>
      <c r="C6" s="5"/>
      <c r="D6" s="6" t="s">
        <v>18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54"/>
      <c r="R6" s="43"/>
      <c r="S6" s="43"/>
    </row>
    <row r="7" spans="1:19">
      <c r="A7" s="2"/>
      <c r="B7" s="5"/>
      <c r="C7" s="5"/>
      <c r="D7" s="6" t="s">
        <v>17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54"/>
      <c r="R7" s="43"/>
      <c r="S7" s="43"/>
    </row>
    <row r="8" spans="1:19" ht="15.75" thickBot="1">
      <c r="A8" s="2"/>
      <c r="B8" s="5"/>
      <c r="C8" s="5"/>
      <c r="D8" s="6" t="s">
        <v>16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54"/>
      <c r="R8" s="43"/>
      <c r="S8" s="43"/>
    </row>
    <row r="9" spans="1:19" ht="29.25" customHeight="1" thickBot="1">
      <c r="A9" s="8" t="s">
        <v>1</v>
      </c>
      <c r="B9" s="7" t="s">
        <v>15</v>
      </c>
      <c r="C9" s="7" t="s">
        <v>21</v>
      </c>
      <c r="D9" s="7" t="s">
        <v>22</v>
      </c>
      <c r="E9" s="48" t="str">
        <f>$S$9</f>
        <v>CALIF</v>
      </c>
      <c r="F9" s="49">
        <v>0.2</v>
      </c>
      <c r="G9" s="48" t="str">
        <f>$S$9</f>
        <v>CALIF</v>
      </c>
      <c r="H9" s="50">
        <v>0.2</v>
      </c>
      <c r="I9" s="48" t="str">
        <f>$S$9</f>
        <v>CALIF</v>
      </c>
      <c r="J9" s="50">
        <v>0.2</v>
      </c>
      <c r="K9" s="48" t="str">
        <f>$S$9</f>
        <v>CALIF</v>
      </c>
      <c r="L9" s="50">
        <v>0.2</v>
      </c>
      <c r="M9" s="48" t="str">
        <f>$S$9</f>
        <v>CALIF</v>
      </c>
      <c r="N9" s="50">
        <v>0.2</v>
      </c>
      <c r="O9" s="48" t="str">
        <f>$S$9</f>
        <v>CALIF</v>
      </c>
      <c r="P9" s="9">
        <v>0</v>
      </c>
      <c r="Q9" s="51">
        <f>SUM(F9+H9+J9+L9+N9+P9)</f>
        <v>1</v>
      </c>
      <c r="R9" s="52" t="s">
        <v>44</v>
      </c>
      <c r="S9" s="53" t="s">
        <v>45</v>
      </c>
    </row>
    <row r="10" spans="1:19">
      <c r="A10" s="14">
        <v>1</v>
      </c>
      <c r="B10" s="19">
        <v>32001315</v>
      </c>
      <c r="C10" s="15" t="s">
        <v>27</v>
      </c>
      <c r="D10" s="15" t="s">
        <v>28</v>
      </c>
      <c r="E10" s="13"/>
      <c r="F10" s="3">
        <f>IFERROR(IF(E10 &gt;0,F$9*E10,0),0)</f>
        <v>0</v>
      </c>
      <c r="G10" s="13"/>
      <c r="H10" s="3">
        <f>IFERROR(IF(G10 &gt;0,H$9*G10,0),0)</f>
        <v>0</v>
      </c>
      <c r="I10" s="13"/>
      <c r="J10" s="3">
        <f>IFERROR(IF(I10 &gt;0,J$9*I10,0),0)</f>
        <v>0</v>
      </c>
      <c r="K10" s="13"/>
      <c r="L10" s="3">
        <f>IFERROR(IF(K10 &gt;0,L$9*K10,0),0)</f>
        <v>0</v>
      </c>
      <c r="M10" s="13"/>
      <c r="N10" s="3">
        <f>IFERROR(IF(M10 &gt;0,N$9*M10,0),0)</f>
        <v>0</v>
      </c>
      <c r="O10" s="13"/>
      <c r="P10" s="3">
        <f>IFERROR(IF(O10 &gt;0,P$9*O10,0),0)</f>
        <v>0</v>
      </c>
      <c r="Q10" s="55">
        <f>SUM(F10+H10+J10+L10+N10+P10)</f>
        <v>0</v>
      </c>
      <c r="R10" s="56">
        <f>SUM(F10+H10+J10+L10+N10+P10)</f>
        <v>0</v>
      </c>
      <c r="S10" s="43"/>
    </row>
    <row r="11" spans="1:19">
      <c r="A11" s="14">
        <v>2</v>
      </c>
      <c r="B11" s="20" t="s">
        <v>29</v>
      </c>
      <c r="C11" s="21" t="s">
        <v>30</v>
      </c>
      <c r="D11" s="21" t="s">
        <v>31</v>
      </c>
      <c r="E11" s="13"/>
      <c r="F11" s="3">
        <f t="shared" ref="F11:F15" si="0">IFERROR(IF(E11 &gt;0,F$9*E11,0),0)</f>
        <v>0</v>
      </c>
      <c r="G11" s="13"/>
      <c r="H11" s="3">
        <f t="shared" ref="H11:H15" si="1">IFERROR(IF(G11 &gt;0,H$9*G11,0),0)</f>
        <v>0</v>
      </c>
      <c r="I11" s="13"/>
      <c r="J11" s="3">
        <f t="shared" ref="J11:J15" si="2">IFERROR(IF(I11 &gt;0,J$9*I11,0),0)</f>
        <v>0</v>
      </c>
      <c r="K11" s="13"/>
      <c r="L11" s="3">
        <f t="shared" ref="L11:L15" si="3">IFERROR(IF(K11 &gt;0,L$9*K11,0),0)</f>
        <v>0</v>
      </c>
      <c r="M11" s="13"/>
      <c r="N11" s="3">
        <f t="shared" ref="N11:N15" si="4">IFERROR(IF(M11 &gt;0,N$9*M11,0),0)</f>
        <v>0</v>
      </c>
      <c r="O11" s="13"/>
      <c r="P11" s="3">
        <f t="shared" ref="P11:P15" si="5">IFERROR(IF(O11 &gt;0,P$9*O11,0),0)</f>
        <v>0</v>
      </c>
      <c r="Q11" s="55">
        <f t="shared" ref="Q11:Q15" si="6">SUM(F11+H11+J11+L11+N11+P11)</f>
        <v>0</v>
      </c>
      <c r="R11" s="56">
        <f t="shared" ref="R11:R15" si="7">SUM(F11+H11+J11+L11+N11+P11)</f>
        <v>0</v>
      </c>
      <c r="S11" s="43"/>
    </row>
    <row r="12" spans="1:19">
      <c r="A12" s="14">
        <v>3</v>
      </c>
      <c r="B12" s="19">
        <v>32869850</v>
      </c>
      <c r="C12" s="15" t="s">
        <v>32</v>
      </c>
      <c r="D12" s="15" t="s">
        <v>33</v>
      </c>
      <c r="E12" s="13"/>
      <c r="F12" s="3">
        <f t="shared" si="0"/>
        <v>0</v>
      </c>
      <c r="G12" s="13"/>
      <c r="H12" s="3">
        <f t="shared" si="1"/>
        <v>0</v>
      </c>
      <c r="I12" s="13"/>
      <c r="J12" s="3">
        <f t="shared" si="2"/>
        <v>0</v>
      </c>
      <c r="K12" s="13"/>
      <c r="L12" s="3">
        <f t="shared" si="3"/>
        <v>0</v>
      </c>
      <c r="M12" s="13"/>
      <c r="N12" s="3">
        <f t="shared" si="4"/>
        <v>0</v>
      </c>
      <c r="O12" s="13"/>
      <c r="P12" s="3">
        <f t="shared" si="5"/>
        <v>0</v>
      </c>
      <c r="Q12" s="55">
        <f t="shared" si="6"/>
        <v>0</v>
      </c>
      <c r="R12" s="56">
        <f t="shared" si="7"/>
        <v>0</v>
      </c>
      <c r="S12" s="43"/>
    </row>
    <row r="13" spans="1:19">
      <c r="A13" s="14">
        <v>4</v>
      </c>
      <c r="B13" s="22">
        <v>33176638</v>
      </c>
      <c r="C13" s="10" t="s">
        <v>34</v>
      </c>
      <c r="D13" s="11" t="s">
        <v>35</v>
      </c>
      <c r="E13" s="13"/>
      <c r="F13" s="3">
        <f t="shared" si="0"/>
        <v>0</v>
      </c>
      <c r="G13" s="13"/>
      <c r="H13" s="3">
        <f t="shared" si="1"/>
        <v>0</v>
      </c>
      <c r="I13" s="13"/>
      <c r="J13" s="3">
        <f t="shared" si="2"/>
        <v>0</v>
      </c>
      <c r="K13" s="13"/>
      <c r="L13" s="3">
        <f t="shared" si="3"/>
        <v>0</v>
      </c>
      <c r="M13" s="13"/>
      <c r="N13" s="3">
        <f t="shared" si="4"/>
        <v>0</v>
      </c>
      <c r="O13" s="13"/>
      <c r="P13" s="3">
        <f t="shared" si="5"/>
        <v>0</v>
      </c>
      <c r="Q13" s="55">
        <f t="shared" si="6"/>
        <v>0</v>
      </c>
      <c r="R13" s="56">
        <f t="shared" si="7"/>
        <v>0</v>
      </c>
      <c r="S13" s="43"/>
    </row>
    <row r="14" spans="1:19">
      <c r="A14" s="14">
        <v>5</v>
      </c>
      <c r="B14" s="14" t="s">
        <v>36</v>
      </c>
      <c r="C14" s="23" t="s">
        <v>26</v>
      </c>
      <c r="D14" s="23" t="s">
        <v>37</v>
      </c>
      <c r="E14" s="13"/>
      <c r="F14" s="3">
        <f t="shared" si="0"/>
        <v>0</v>
      </c>
      <c r="G14" s="13"/>
      <c r="H14" s="3">
        <f t="shared" si="1"/>
        <v>0</v>
      </c>
      <c r="I14" s="13"/>
      <c r="J14" s="3">
        <f t="shared" si="2"/>
        <v>0</v>
      </c>
      <c r="K14" s="13"/>
      <c r="L14" s="3">
        <f t="shared" si="3"/>
        <v>0</v>
      </c>
      <c r="M14" s="13"/>
      <c r="N14" s="3">
        <f t="shared" si="4"/>
        <v>0</v>
      </c>
      <c r="O14" s="13"/>
      <c r="P14" s="3">
        <f t="shared" si="5"/>
        <v>0</v>
      </c>
      <c r="Q14" s="55">
        <f t="shared" si="6"/>
        <v>0</v>
      </c>
      <c r="R14" s="56">
        <f t="shared" si="7"/>
        <v>0</v>
      </c>
      <c r="S14" s="43"/>
    </row>
    <row r="15" spans="1:19">
      <c r="A15" s="14">
        <v>6</v>
      </c>
      <c r="B15" s="22">
        <v>34123537</v>
      </c>
      <c r="C15" s="10" t="s">
        <v>25</v>
      </c>
      <c r="D15" s="11" t="s">
        <v>38</v>
      </c>
      <c r="E15" s="13"/>
      <c r="F15" s="3">
        <f t="shared" si="0"/>
        <v>0</v>
      </c>
      <c r="G15" s="13"/>
      <c r="H15" s="3">
        <f t="shared" si="1"/>
        <v>0</v>
      </c>
      <c r="I15" s="13"/>
      <c r="J15" s="3">
        <f t="shared" si="2"/>
        <v>0</v>
      </c>
      <c r="K15" s="13"/>
      <c r="L15" s="3">
        <f t="shared" si="3"/>
        <v>0</v>
      </c>
      <c r="M15" s="13"/>
      <c r="N15" s="3">
        <f t="shared" si="4"/>
        <v>0</v>
      </c>
      <c r="O15" s="13"/>
      <c r="P15" s="3">
        <f t="shared" si="5"/>
        <v>0</v>
      </c>
      <c r="Q15" s="55">
        <f t="shared" si="6"/>
        <v>0</v>
      </c>
      <c r="R15" s="56">
        <f t="shared" si="7"/>
        <v>0</v>
      </c>
      <c r="S15" s="43"/>
    </row>
    <row r="16" spans="1:19">
      <c r="A16" s="14"/>
      <c r="B16" s="18"/>
      <c r="C16" s="16"/>
      <c r="D16" s="16"/>
      <c r="E16" s="13"/>
      <c r="F16" s="3"/>
      <c r="G16" s="13"/>
      <c r="H16" s="3"/>
      <c r="I16" s="13"/>
      <c r="J16" s="3"/>
      <c r="K16" s="13"/>
      <c r="L16" s="3"/>
      <c r="M16" s="13"/>
      <c r="N16" s="3"/>
      <c r="O16" s="13"/>
      <c r="P16" s="3"/>
      <c r="Q16" s="57"/>
      <c r="R16" s="58"/>
      <c r="S16" s="43"/>
    </row>
    <row r="17" spans="1:19">
      <c r="A17" s="14"/>
      <c r="B17" s="18"/>
      <c r="C17" s="16"/>
      <c r="D17" s="16"/>
      <c r="E17" s="13"/>
      <c r="F17" s="3"/>
      <c r="G17" s="13"/>
      <c r="H17" s="3"/>
      <c r="I17" s="13"/>
      <c r="J17" s="3"/>
      <c r="K17" s="13"/>
      <c r="L17" s="3"/>
      <c r="M17" s="13"/>
      <c r="N17" s="3"/>
      <c r="O17" s="13"/>
      <c r="P17" s="3"/>
      <c r="Q17" s="57"/>
      <c r="R17" s="58"/>
      <c r="S17" s="43"/>
    </row>
    <row r="18" spans="1:19">
      <c r="A18" s="14"/>
      <c r="B18" s="17"/>
      <c r="C18" s="10"/>
      <c r="D18" s="11"/>
      <c r="E18" s="13"/>
      <c r="F18" s="3"/>
      <c r="G18" s="13"/>
      <c r="H18" s="3"/>
      <c r="I18" s="13"/>
      <c r="J18" s="3"/>
      <c r="K18" s="13"/>
      <c r="L18" s="3"/>
      <c r="M18" s="13"/>
      <c r="N18" s="3"/>
      <c r="O18" s="13"/>
      <c r="P18" s="3"/>
      <c r="Q18" s="57"/>
      <c r="R18" s="58"/>
      <c r="S18" s="43"/>
    </row>
    <row r="19" spans="1:19">
      <c r="A19" s="14"/>
      <c r="B19" s="17"/>
      <c r="C19" s="10"/>
      <c r="D19" s="11"/>
      <c r="E19" s="13"/>
      <c r="F19" s="3"/>
      <c r="G19" s="13"/>
      <c r="H19" s="3"/>
      <c r="I19" s="13"/>
      <c r="J19" s="3"/>
      <c r="K19" s="13"/>
      <c r="L19" s="3"/>
      <c r="M19" s="13"/>
      <c r="N19" s="3"/>
      <c r="O19" s="13"/>
      <c r="P19" s="3"/>
      <c r="Q19" s="57"/>
      <c r="R19" s="58"/>
      <c r="S19" s="43"/>
    </row>
    <row r="20" spans="1:19">
      <c r="A20" s="14"/>
      <c r="B20" s="17"/>
      <c r="C20" s="10"/>
      <c r="D20" s="11"/>
      <c r="E20" s="13"/>
      <c r="F20" s="3"/>
      <c r="G20" s="13"/>
      <c r="H20" s="3"/>
      <c r="I20" s="13"/>
      <c r="J20" s="3"/>
      <c r="K20" s="13"/>
      <c r="L20" s="3"/>
      <c r="M20" s="13"/>
      <c r="N20" s="3"/>
      <c r="O20" s="13"/>
      <c r="P20" s="3"/>
      <c r="Q20" s="57"/>
      <c r="R20" s="58"/>
      <c r="S20" s="43"/>
    </row>
    <row r="21" spans="1:19">
      <c r="B21" s="29"/>
      <c r="C21" s="29"/>
      <c r="D21" s="29"/>
      <c r="E21" s="24" t="s">
        <v>6</v>
      </c>
      <c r="F21" s="24"/>
      <c r="G21" s="24"/>
      <c r="H21" s="24"/>
      <c r="I21" s="24"/>
      <c r="J21" s="24"/>
    </row>
    <row r="22" spans="1:19">
      <c r="B22" s="26" t="s">
        <v>4</v>
      </c>
      <c r="C22" s="26"/>
      <c r="D22" s="26"/>
      <c r="E22" s="31"/>
      <c r="F22" s="31"/>
      <c r="G22" s="31"/>
      <c r="H22" s="31"/>
      <c r="I22" s="31"/>
      <c r="J22" s="31"/>
      <c r="K22" s="30" t="s">
        <v>23</v>
      </c>
      <c r="L22" s="30"/>
      <c r="M22" s="30"/>
      <c r="N22" s="30"/>
      <c r="O22" s="33">
        <f ca="1">TODAY()</f>
        <v>46135</v>
      </c>
      <c r="P22" s="34"/>
    </row>
    <row r="23" spans="1:19">
      <c r="B23" s="27" t="s">
        <v>5</v>
      </c>
      <c r="C23" s="27"/>
      <c r="D23" s="27"/>
      <c r="E23" s="25"/>
      <c r="F23" s="25"/>
      <c r="G23" s="25"/>
      <c r="H23" s="25"/>
      <c r="I23" s="25"/>
      <c r="J23" s="25"/>
    </row>
    <row r="24" spans="1:19">
      <c r="B24" s="26" t="s">
        <v>8</v>
      </c>
      <c r="C24" s="26"/>
      <c r="D24" s="26"/>
    </row>
  </sheetData>
  <sheetProtection sheet="1" objects="1" scenarios="1"/>
  <mergeCells count="46">
    <mergeCell ref="Q5:Q8"/>
    <mergeCell ref="O6:P6"/>
    <mergeCell ref="E6:F6"/>
    <mergeCell ref="M6:N6"/>
    <mergeCell ref="E8:F8"/>
    <mergeCell ref="G8:H8"/>
    <mergeCell ref="I8:J8"/>
    <mergeCell ref="K8:L8"/>
    <mergeCell ref="O22:P22"/>
    <mergeCell ref="O8:P8"/>
    <mergeCell ref="E7:F7"/>
    <mergeCell ref="G7:H7"/>
    <mergeCell ref="I7:J7"/>
    <mergeCell ref="K7:L7"/>
    <mergeCell ref="M7:N7"/>
    <mergeCell ref="B24:D24"/>
    <mergeCell ref="K22:N22"/>
    <mergeCell ref="E22:J22"/>
    <mergeCell ref="M8:N8"/>
    <mergeCell ref="E1:G1"/>
    <mergeCell ref="K1:L1"/>
    <mergeCell ref="M1:Q1"/>
    <mergeCell ref="E2:G2"/>
    <mergeCell ref="H2:N2"/>
    <mergeCell ref="E3:G3"/>
    <mergeCell ref="H3:L3"/>
    <mergeCell ref="M3:O3"/>
    <mergeCell ref="P3:R3"/>
    <mergeCell ref="O5:P5"/>
    <mergeCell ref="O7:P7"/>
    <mergeCell ref="P2:Q2"/>
    <mergeCell ref="E21:J21"/>
    <mergeCell ref="E23:J23"/>
    <mergeCell ref="B22:D22"/>
    <mergeCell ref="B23:D23"/>
    <mergeCell ref="G6:H6"/>
    <mergeCell ref="I6:J6"/>
    <mergeCell ref="K6:L6"/>
    <mergeCell ref="F4:N4"/>
    <mergeCell ref="E5:F5"/>
    <mergeCell ref="G5:H5"/>
    <mergeCell ref="I5:J5"/>
    <mergeCell ref="K5:L5"/>
    <mergeCell ref="M5:N5"/>
    <mergeCell ref="O4:Q4"/>
    <mergeCell ref="B21:D21"/>
  </mergeCells>
  <dataValidations count="6">
    <dataValidation type="list" allowBlank="1" showInputMessage="1" showErrorMessage="1" sqref="F22">
      <formula1>"Mirtha Camacho,Yuliana Machado,Yolimar Tablante,Beda Fernandez,Ysabel González,Ana Cedillo,Maryernis Fernadez,Yotzelis Farias,Franklin Correa,Jesusm Pérez, Freddy Padrón,"</formula1>
    </dataValidation>
    <dataValidation type="list" allowBlank="1" showInputMessage="1" showErrorMessage="1" sqref="M1">
      <formula1>"CIENCIAS AGRICOLAS Y PECUARIAS,TECNOLOGIA DE LOS ALIMENTOS"</formula1>
    </dataValidation>
    <dataValidation type="list" allowBlank="1" showInputMessage="1" showErrorMessage="1" sqref="J1">
      <formula1>"5TO"</formula1>
    </dataValidation>
    <dataValidation type="list" allowBlank="1" showInputMessage="1" showErrorMessage="1" sqref="P2">
      <formula1>"ALIM. U"</formula1>
    </dataValidation>
    <dataValidation type="list" allowBlank="1" showInputMessage="1" showErrorMessage="1" sqref="O4">
      <formula1>"1ER MOMENTO,2DO MOMENTO,3ER MOMENTO"</formula1>
    </dataValidation>
    <dataValidation type="list" allowBlank="1" showInputMessage="1" showErrorMessage="1" errorTitle="Nota" error="Nota Fuera De Rango" sqref="O10:O20 G10:G20 I10:I20 K10:K20 M10:M20 E10:E20">
      <formula1>"01,02,03,04,05,06,07,08,09,10,11,12,13,14,15,16,17,18,19,20,I,NP,NC"</formula1>
    </dataValidation>
  </dataValidations>
  <pageMargins left="0.23622047244094491" right="0.23622047244094491" top="0.74803149606299213" bottom="0.31496062992125984" header="0.31496062992125984" footer="0.31496062992125984"/>
  <pageSetup paperSize="5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5° AÑO ALIMENTO 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RanggiFC</dc:creator>
  <cp:lastModifiedBy>User</cp:lastModifiedBy>
  <cp:lastPrinted>2024-11-28T21:52:20Z</cp:lastPrinted>
  <dcterms:created xsi:type="dcterms:W3CDTF">2024-11-16T23:55:19Z</dcterms:created>
  <dcterms:modified xsi:type="dcterms:W3CDTF">2026-04-23T15:25:11Z</dcterms:modified>
</cp:coreProperties>
</file>